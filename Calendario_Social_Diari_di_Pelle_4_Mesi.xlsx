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53f87eef572a4dff" /></Relationships>
</file>

<file path=xl/workbook.xml><?xml version="1.0" encoding="utf-8"?>
<x:workbook xmlns:x="http://schemas.openxmlformats.org/spreadsheetml/2006/main">
  <x:sheets>
    <x:sheet xmlns:r="http://schemas.openxmlformats.org/officeDocument/2006/relationships" name="LEGGIMI" sheetId="1" r:id="R498ba9452e554357"/>
    <x:sheet xmlns:r="http://schemas.openxmlformats.org/officeDocument/2006/relationships" name="CONFIG" sheetId="2" r:id="R911d829745a14641"/>
    <x:sheet xmlns:r="http://schemas.openxmlformats.org/officeDocument/2006/relationships" name="SESSIONI" sheetId="3" r:id="R6114fa736a9c413a"/>
    <x:sheet xmlns:r="http://schemas.openxmlformats.org/officeDocument/2006/relationships" name="CALENDARIO" sheetId="4" r:id="Rd77ea4d994db4e39"/>
    <x:sheet xmlns:r="http://schemas.openxmlformats.org/officeDocument/2006/relationships" name="TESTI" sheetId="5" r:id="R0c87f2e6bf6142c7"/>
    <x:sheet xmlns:r="http://schemas.openxmlformats.org/officeDocument/2006/relationships" name="CAMPAGNE" sheetId="6" r:id="R4a6a3b9a20174544"/>
  </x:sheets>
</x:workbook>
</file>

<file path=xl/comments1.xml><?xml version="1.0" encoding="utf-8"?>
<x:comments xmlns:x="http://schemas.openxmlformats.org/spreadsheetml/2006/main">
  <x:authors>
    <x:author>tc={9190DA16-FBA7-5343-0C2A-41665BD3FD71}</x:author>
  </x:authors>
  <x:commentList>
    <x:comment ref="B8" authorId="0">
      <x:text>
        <x:r>
          <x:t>[Threaded comment]
Your version of Excel allows you to read this threaded comment; however, any edits to it will get removed if the file is opened in a newer version of Excel. Learn more: https://go.microsoft.com/fwlink/?linkid=870924
Comment:
    Formula automatica: usa la data bloccata quando presente; altrimenti sceglie la data più tarda fra la data minima e il prossimo martedì utile, lasciando i giorni di preparazione indicati.</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dd/mm/yyyy"/>
    <x:numFmt numFmtId="201" formatCode="hh:mm"/>
  </x:numFmts>
  <x:fonts count="26">
    <x:font>
      <x:sz val="11"/>
      <x:name val="Carlito"/>
    </x:font>
    <x:font>
      <x:b/>
      <x:sz val="19"/>
      <x:color rgb="FFFFFFFF"/>
      <x:name val="Carlito"/>
    </x:font>
    <x:font>
      <x:i/>
      <x:sz val="11"/>
      <x:color rgb="FF272523"/>
      <x:name val="Carlito"/>
    </x:font>
    <x:font>
      <x:b/>
      <x:sz val="11"/>
      <x:color rgb="FF5B2431"/>
      <x:name val="Carlito"/>
    </x:font>
    <x:font>
      <x:b/>
      <x:sz val="12"/>
      <x:color rgb="FF7F6000"/>
      <x:name val="Carlito"/>
    </x:font>
    <x:font>
      <x:b/>
      <x:sz val="13"/>
      <x:color rgb="FF274E13"/>
      <x:name val="Carlito"/>
    </x:font>
    <x:font>
      <x:b/>
      <x:sz val="11"/>
      <x:color rgb="FFFFFFFF"/>
      <x:name val="Carlito"/>
    </x:font>
    <x:font>
      <x:b/>
      <x:sz val="11"/>
      <x:color rgb="FF134F5C"/>
      <x:name val="Carlito"/>
    </x:font>
    <x:font>
      <x:sz val="11"/>
      <x:color rgb="FF7F6000"/>
      <x:name val="Carlito"/>
    </x:font>
    <x:font>
      <x:b/>
      <x:sz val="10"/>
      <x:color rgb="FFFFFFFF"/>
      <x:name val="Carlito"/>
    </x:font>
    <x:font>
      <x:i/>
      <x:sz val="10"/>
      <x:color rgb="FF272523"/>
      <x:name val="Carlito"/>
    </x:font>
    <x:font>
      <x:sz val="10"/>
      <x:name val="Carlito"/>
    </x:font>
    <x:font>
      <x:b/>
      <x:sz val="10"/>
      <x:color rgb="FF5B2431"/>
      <x:name val="Carlito"/>
    </x:font>
    <x:font>
      <x:b/>
      <x:sz val="10"/>
      <x:color rgb="FF7F6000"/>
      <x:name val="Carlito"/>
    </x:font>
    <x:font>
      <x:b/>
      <x:sz val="10"/>
      <x:color rgb="FF274E13"/>
      <x:name val="Carlito"/>
    </x:font>
    <x:font>
      <x:b/>
      <x:sz val="10"/>
      <x:color rgb="FF134F5C"/>
      <x:name val="Carlito"/>
    </x:font>
    <x:font>
      <x:sz val="10"/>
      <x:color rgb="FF7F6000"/>
      <x:name val="Carlito"/>
    </x:font>
    <x:font>
      <x:b/>
      <x:sz val="9"/>
      <x:color rgb="FFFFFFFF"/>
      <x:name val="Carlito"/>
    </x:font>
    <x:font>
      <x:sz val="9"/>
      <x:name val="Carlito"/>
    </x:font>
    <x:font>
      <x:b/>
      <x:sz val="9"/>
      <x:color rgb="FF7F6000"/>
      <x:name val="Carlito"/>
    </x:font>
    <x:font>
      <x:b/>
      <x:sz val="9"/>
      <x:color rgb="FF134F5C"/>
      <x:name val="Carlito"/>
    </x:font>
    <x:font>
      <x:b/>
      <x:sz val="11"/>
      <x:color rgb="FF7F6000"/>
      <x:name val="Carlito"/>
    </x:font>
    <x:font>
      <x:b/>
      <x:sz val="20"/>
      <x:color rgb="FFFFFFFF"/>
      <x:name val="Carlito"/>
    </x:font>
    <x:font>
      <x:b/>
      <x:sz val="15"/>
      <x:color rgb="FF272523"/>
      <x:name val="Carlito"/>
    </x:font>
    <x:font>
      <x:b/>
      <x:sz val="12"/>
      <x:color rgb="FFFFFFFF"/>
      <x:name val="Carlito"/>
    </x:font>
    <x:font>
      <x:b/>
      <x:sz val="10"/>
      <x:color rgb="FF272523"/>
      <x:name val="Carlito"/>
    </x:font>
  </x:fonts>
  <x:fills count="10">
    <x:fill>
      <x:patternFill patternType="none"/>
    </x:fill>
    <x:fill>
      <x:patternFill patternType="gray125"/>
    </x:fill>
    <x:fill>
      <x:patternFill patternType="solid">
        <x:fgColor rgb="FF5B2431"/>
      </x:patternFill>
    </x:fill>
    <x:fill>
      <x:patternFill patternType="solid">
        <x:fgColor rgb="FFE9DDCC"/>
      </x:patternFill>
    </x:fill>
    <x:fill>
      <x:patternFill patternType="solid">
        <x:fgColor rgb="FFF8F3EA"/>
      </x:patternFill>
    </x:fill>
    <x:fill>
      <x:patternFill patternType="solid">
        <x:fgColor rgb="FFFFF2CC"/>
      </x:patternFill>
    </x:fill>
    <x:fill>
      <x:patternFill patternType="solid">
        <x:fgColor rgb="FFD9EAD3"/>
      </x:patternFill>
    </x:fill>
    <x:fill>
      <x:patternFill patternType="solid">
        <x:fgColor rgb="FF7B3344"/>
      </x:patternFill>
    </x:fill>
    <x:fill>
      <x:patternFill patternType="solid">
        <x:fgColor rgb="FFC89B4B"/>
      </x:patternFill>
    </x:fill>
    <x:fill>
      <x:patternFill patternType="solid">
        <x:fgColor rgb="FFD9EAF7"/>
      </x:patternFill>
    </x:fill>
  </x:fills>
  <x:borders count="12">
    <x:border/>
    <x:border>
      <x:left style="medium">
        <x:color rgb="FFC89B4B"/>
      </x:left>
      <x:right style="medium">
        <x:color rgb="FFC89B4B"/>
      </x:right>
      <x:top style="medium">
        <x:color rgb="FFC89B4B"/>
      </x:top>
    </x:border>
    <x:border>
      <x:left style="medium">
        <x:color rgb="FFC89B4B"/>
      </x:left>
      <x:right style="medium">
        <x:color rgb="FFC89B4B"/>
      </x:right>
    </x:border>
    <x:border>
      <x:left style="medium">
        <x:color rgb="FFC89B4B"/>
      </x:left>
      <x:right style="medium">
        <x:color rgb="FFC89B4B"/>
      </x:right>
      <x:bottom style="medium">
        <x:color rgb="FFC89B4B"/>
      </x:bottom>
    </x:border>
    <x:border>
      <x:left style="medium">
        <x:color rgb="FF274E13"/>
      </x:left>
      <x:right style="medium">
        <x:color rgb="FF274E13"/>
      </x:right>
      <x:top style="medium">
        <x:color rgb="FF274E13"/>
      </x:top>
      <x:bottom style="medium">
        <x:color rgb="FF274E13"/>
      </x:bottom>
    </x:border>
    <x:border>
      <x:bottom style="thin">
        <x:color rgb="FFE9DDCC"/>
      </x:bottom>
    </x:border>
    <x:border>
      <x:top style="thin">
        <x:color rgb="FFE9DDCC"/>
      </x:top>
      <x:bottom style="thin">
        <x:color rgb="FFE9DDCC"/>
      </x:bottom>
    </x:border>
    <x:border>
      <x:top style="thin">
        <x:color rgb="FFE9DDCC"/>
      </x:top>
    </x:border>
    <x:border>
      <x:left style="thin">
        <x:color rgb="FFE9DDCC"/>
      </x:left>
      <x:top style="thin">
        <x:color rgb="FFE9DDCC"/>
      </x:top>
    </x:border>
    <x:border>
      <x:right style="thin">
        <x:color rgb="FFE9DDCC"/>
      </x:right>
      <x:top style="thin">
        <x:color rgb="FFE9DDCC"/>
      </x:top>
    </x:border>
    <x:border>
      <x:left style="thin">
        <x:color rgb="FFE9DDCC"/>
      </x:left>
      <x:bottom style="thin">
        <x:color rgb="FFE9DDCC"/>
      </x:bottom>
    </x:border>
    <x:border>
      <x:right style="thin">
        <x:color rgb="FFE9DDCC"/>
      </x:right>
      <x:bottom style="thin">
        <x:color rgb="FFE9DDCC"/>
      </x:bottom>
    </x:border>
  </x:borders>
  <x:cellStyleXfs count="1">
    <x:xf numFmtId="0" fontId="0" fillId="0" borderId="0"/>
  </x:cellStyleXfs>
  <x:cellXfs count="19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1" xfId="0" applyNumberFormat="1" applyFont="1" applyFill="1" applyBorder="1" applyAlignment="1">
      <x:alignment horizontal="center"/>
    </x:xf>
    <x:xf numFmtId="0" fontId="4" fillId="5" borderId="2" xfId="0" applyNumberFormat="1" applyFont="1" applyFill="1" applyBorder="1" applyAlignment="1">
      <x:alignment horizontal="center"/>
    </x:xf>
    <x:xf numFmtId="0" fontId="4" fillId="5" borderId="3" xfId="0" applyNumberFormat="1" applyFont="1" applyFill="1" applyBorder="1" applyAlignment="1">
      <x:alignment horizontal="center"/>
    </x:xf>
    <x:xf numFmtId="0" fontId="4" fillId="5" borderId="1" xfId="0" applyNumberFormat="1" applyFont="1" applyFill="1" applyBorder="1" applyAlignment="1">
      <x:alignment horizontal="center" vertical="center"/>
    </x:xf>
    <x:xf numFmtId="0" fontId="4" fillId="5" borderId="2" xfId="0" applyNumberFormat="1" applyFont="1" applyFill="1" applyBorder="1" applyAlignment="1">
      <x:alignment horizontal="center" vertical="center"/>
    </x:xf>
    <x:xf numFmtId="0" fontId="4" fillId="5" borderId="3" xfId="0" applyNumberFormat="1" applyFont="1" applyFill="1" applyBorder="1" applyAlignment="1">
      <x:alignment horizontal="center" vertical="center"/>
    </x:xf>
    <x:xf numFmtId="0" fontId="0" fillId="6" borderId="0" xfId="0" applyNumberFormat="1" applyFont="1" applyFill="1" applyBorder="1"/>
    <x:xf numFmtId="0" fontId="5" fillId="6" borderId="0" xfId="0" applyNumberFormat="1" applyFont="1" applyFill="1" applyBorder="1"/>
    <x:xf numFmtId="0" fontId="5" fillId="6" borderId="4" xfId="0" applyNumberFormat="1" applyFont="1" applyFill="1" applyBorder="1"/>
    <x:xf numFmtId="0" fontId="5" fillId="6" borderId="4" xfId="0" applyNumberFormat="1" applyFont="1" applyFill="1" applyBorder="1" applyAlignment="1">
      <x:alignment horizontal="center"/>
    </x:xf>
    <x:xf numFmtId="0" fontId="5" fillId="6" borderId="4" xfId="0" applyNumberFormat="1" applyFont="1" applyFill="1" applyBorder="1" applyAlignment="1">
      <x:alignment horizontal="center" vertical="center"/>
    </x:xf>
    <x:xf numFmtId="200" fontId="4" fillId="5" borderId="1" xfId="0" applyNumberFormat="1" applyFont="1" applyFill="1" applyBorder="1" applyAlignment="1">
      <x:alignment horizontal="center" vertical="center"/>
    </x:xf>
    <x:xf numFmtId="200" fontId="4" fillId="5" borderId="3" xfId="0" applyNumberFormat="1" applyFont="1" applyFill="1" applyBorder="1" applyAlignment="1">
      <x:alignment horizontal="center" vertical="center"/>
    </x:xf>
    <x:xf numFmtId="200" fontId="5" fillId="6" borderId="4" xfId="0" applyNumberFormat="1" applyFont="1" applyFill="1" applyBorder="1" applyAlignment="1">
      <x:alignment horizontal="center" vertical="center"/>
    </x:xf>
    <x:xf numFmtId="0" fontId="0" fillId="7" borderId="0" xfId="0" applyNumberFormat="1" applyFont="1" applyFill="1" applyBorder="1"/>
    <x:xf numFmtId="0" fontId="6" fillId="7" borderId="0" xfId="0" applyNumberFormat="1" applyFont="1" applyFill="1" applyBorder="1"/>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horizontal="center"/>
    </x:xf>
    <x:xf numFmtId="0" fontId="6" fillId="8" borderId="0" xfId="0" applyNumberFormat="1" applyFont="1" applyFill="1" applyBorder="1" applyAlignment="1">
      <x:alignment horizontal="center" vertical="center"/>
    </x:xf>
    <x:xf numFmtId="0" fontId="0" fillId="4" borderId="5" xfId="0" applyNumberFormat="1" applyFont="1" applyFill="1" applyBorder="1"/>
    <x:xf numFmtId="0" fontId="0" fillId="4" borderId="6" xfId="0" applyNumberFormat="1" applyFont="1" applyFill="1" applyBorder="1"/>
    <x:xf numFmtId="0" fontId="0" fillId="4" borderId="5" xfId="0" applyNumberFormat="1" applyFont="1" applyFill="1" applyBorder="1" applyAlignment="1">
      <x:alignment wrapText="1"/>
    </x:xf>
    <x:xf numFmtId="0" fontId="0" fillId="4" borderId="6" xfId="0" applyNumberFormat="1" applyFont="1" applyFill="1" applyBorder="1" applyAlignment="1">
      <x:alignment wrapText="1"/>
    </x:xf>
    <x:xf numFmtId="0" fontId="0" fillId="4" borderId="5" xfId="0" applyNumberFormat="1" applyFont="1" applyFill="1" applyBorder="1" applyAlignment="1">
      <x:alignment vertical="center" wrapText="1"/>
    </x:xf>
    <x:xf numFmtId="0" fontId="0" fillId="4" borderId="6" xfId="0" applyNumberFormat="1" applyFont="1" applyFill="1" applyBorder="1" applyAlignment="1">
      <x:alignment vertical="center" wrapText="1"/>
    </x:xf>
    <x:xf numFmtId="0" fontId="3" fillId="4" borderId="5" xfId="0" applyNumberFormat="1" applyFont="1" applyFill="1" applyBorder="1" applyAlignment="1">
      <x:alignment wrapText="1"/>
    </x:xf>
    <x:xf numFmtId="0" fontId="3" fillId="4" borderId="6" xfId="0" applyNumberFormat="1" applyFont="1" applyFill="1" applyBorder="1" applyAlignment="1">
      <x:alignment wrapText="1"/>
    </x:xf>
    <x:xf numFmtId="0" fontId="0" fillId="9" borderId="5" xfId="0" applyNumberFormat="1" applyFont="1" applyFill="1" applyBorder="1" applyAlignment="1">
      <x:alignment wrapText="1"/>
    </x:xf>
    <x:xf numFmtId="0" fontId="0" fillId="9" borderId="6" xfId="0" applyNumberFormat="1" applyFont="1" applyFill="1" applyBorder="1" applyAlignment="1">
      <x:alignment wrapText="1"/>
    </x:xf>
    <x:xf numFmtId="0" fontId="7" fillId="9" borderId="5" xfId="0" applyNumberFormat="1" applyFont="1" applyFill="1" applyBorder="1" applyAlignment="1">
      <x:alignment wrapText="1"/>
    </x:xf>
    <x:xf numFmtId="0" fontId="7" fillId="9" borderId="6" xfId="0" applyNumberFormat="1" applyFont="1" applyFill="1" applyBorder="1" applyAlignment="1">
      <x:alignment wrapText="1"/>
    </x:xf>
    <x:xf numFmtId="0" fontId="7" fillId="9" borderId="5" xfId="0" applyNumberFormat="1" applyFont="1" applyFill="1" applyBorder="1" applyAlignment="1">
      <x:alignment horizontal="center" wrapText="1"/>
    </x:xf>
    <x:xf numFmtId="0" fontId="7" fillId="9" borderId="6" xfId="0" applyNumberFormat="1" applyFont="1" applyFill="1" applyBorder="1" applyAlignment="1">
      <x:alignment horizontal="center" wrapText="1"/>
    </x:xf>
    <x:xf numFmtId="0" fontId="8" fillId="5" borderId="0" xfId="0" applyNumberFormat="1" applyFont="1" applyFill="1" applyBorder="1"/>
    <x:xf numFmtId="0" fontId="8" fillId="5" borderId="0" xfId="0" applyNumberFormat="1" applyFont="1" applyFill="1" applyBorder="1" applyAlignment="1">
      <x:alignment wrapText="1"/>
    </x:xf>
    <x:xf numFmtId="0" fontId="8" fillId="5" borderId="0" xfId="0" applyNumberFormat="1" applyFont="1" applyFill="1" applyBorder="1" applyAlignment="1">
      <x:alignment vertical="center" wrapText="1"/>
    </x:xf>
    <x:xf numFmtId="0" fontId="9" fillId="2" borderId="0" xfId="0" applyNumberFormat="1" applyFont="1" applyFill="1" applyBorder="1" applyAlignment="1">
      <x:alignment horizontal="center" vertical="center"/>
    </x:xf>
    <x:xf numFmtId="0" fontId="10" fillId="3" borderId="0" xfId="0" applyNumberFormat="1" applyFont="1" applyFill="1" applyBorder="1" applyAlignment="1">
      <x:alignment horizontal="center"/>
    </x:xf>
    <x:xf numFmtId="0" fontId="11" fillId="0" borderId="0" xfId="0" applyNumberFormat="1" applyFont="1" applyFill="1" applyBorder="1"/>
    <x:xf numFmtId="0" fontId="12" fillId="4" borderId="0" xfId="0" applyNumberFormat="1" applyFont="1" applyFill="1" applyBorder="1" applyAlignment="1">
      <x:alignment vertical="center"/>
    </x:xf>
    <x:xf numFmtId="200" fontId="13" fillId="5" borderId="1" xfId="0" applyNumberFormat="1" applyFont="1" applyFill="1" applyBorder="1" applyAlignment="1">
      <x:alignment horizontal="center" vertical="center"/>
    </x:xf>
    <x:xf numFmtId="0" fontId="9" fillId="7" borderId="0" xfId="0" applyNumberFormat="1" applyFont="1" applyFill="1" applyBorder="1"/>
    <x:xf numFmtId="0" fontId="13" fillId="5" borderId="2" xfId="0" applyNumberFormat="1" applyFont="1" applyFill="1" applyBorder="1" applyAlignment="1">
      <x:alignment horizontal="center" vertical="center"/>
    </x:xf>
    <x:xf numFmtId="0" fontId="9" fillId="8" borderId="0" xfId="0" applyNumberFormat="1" applyFont="1" applyFill="1" applyBorder="1" applyAlignment="1">
      <x:alignment horizontal="center" vertical="center"/>
    </x:xf>
    <x:xf numFmtId="0" fontId="11" fillId="4" borderId="5" xfId="0" applyNumberFormat="1" applyFont="1" applyFill="1" applyBorder="1" applyAlignment="1">
      <x:alignment vertical="center" wrapText="1"/>
    </x:xf>
    <x:xf numFmtId="200" fontId="13" fillId="5" borderId="3" xfId="0" applyNumberFormat="1" applyFont="1" applyFill="1" applyBorder="1" applyAlignment="1">
      <x:alignment horizontal="center" vertical="center"/>
    </x:xf>
    <x:xf numFmtId="0" fontId="11" fillId="4" borderId="6" xfId="0" applyNumberFormat="1" applyFont="1" applyFill="1" applyBorder="1" applyAlignment="1">
      <x:alignment vertical="center" wrapText="1"/>
    </x:xf>
    <x:xf numFmtId="200" fontId="14" fillId="6" borderId="4" xfId="0" applyNumberFormat="1" applyFont="1" applyFill="1" applyBorder="1" applyAlignment="1">
      <x:alignment horizontal="center" vertical="center"/>
    </x:xf>
    <x:xf numFmtId="0" fontId="12" fillId="4" borderId="5" xfId="0" applyNumberFormat="1" applyFont="1" applyFill="1" applyBorder="1" applyAlignment="1">
      <x:alignment wrapText="1"/>
    </x:xf>
    <x:xf numFmtId="0" fontId="15" fillId="9" borderId="5" xfId="0" applyNumberFormat="1" applyFont="1" applyFill="1" applyBorder="1" applyAlignment="1">
      <x:alignment horizontal="center" wrapText="1"/>
    </x:xf>
    <x:xf numFmtId="0" fontId="16" fillId="5" borderId="0" xfId="0" applyNumberFormat="1" applyFont="1" applyFill="1" applyBorder="1" applyAlignment="1">
      <x:alignment vertical="center" wrapText="1"/>
    </x:xf>
    <x:xf numFmtId="0" fontId="12" fillId="4" borderId="6" xfId="0" applyNumberFormat="1" applyFont="1" applyFill="1" applyBorder="1" applyAlignment="1">
      <x:alignment wrapText="1"/>
    </x:xf>
    <x:xf numFmtId="0" fontId="15" fillId="9" borderId="6" xfId="0" applyNumberFormat="1" applyFont="1" applyFill="1" applyBorder="1" applyAlignment="1">
      <x:alignment horizontal="center" wrapText="1"/>
    </x:xf>
    <x:xf numFmtId="0" fontId="6" fillId="2" borderId="0" xfId="0" applyNumberFormat="1" applyFont="1" applyFill="1" applyBorder="1"/>
    <x:xf numFmtId="0" fontId="6" fillId="2" borderId="0" xfId="0" applyNumberFormat="1" applyFont="1" applyFill="1" applyBorder="1" applyAlignment="1">
      <x:alignment wrapText="1"/>
    </x:xf>
    <x:xf numFmtId="0" fontId="6" fillId="2" borderId="0" xfId="0" applyNumberFormat="1" applyFont="1" applyFill="1" applyBorder="1" applyAlignment="1">
      <x:alignment horizontal="center" wrapText="1"/>
    </x:xf>
    <x:xf numFmtId="0" fontId="6" fillId="2" borderId="0" xfId="0" applyNumberFormat="1" applyFont="1" applyFill="1" applyBorder="1" applyAlignment="1">
      <x:alignment horizontal="center" vertical="center" wrapText="1"/>
    </x:xf>
    <x:xf numFmtId="0" fontId="0" fillId="4" borderId="7" xfId="0" applyNumberFormat="1" applyFont="1" applyFill="1" applyBorder="1"/>
    <x:xf numFmtId="0" fontId="0" fillId="4" borderId="7" xfId="0" applyNumberFormat="1" applyFont="1" applyFill="1" applyBorder="1" applyAlignment="1">
      <x:alignment wrapText="1"/>
    </x:xf>
    <x:xf numFmtId="0" fontId="0" fillId="4" borderId="5" xfId="0" applyNumberFormat="1" applyFont="1" applyFill="1" applyBorder="1" applyAlignment="1">
      <x:alignment vertical="top" wrapText="1"/>
    </x:xf>
    <x:xf numFmtId="0" fontId="0" fillId="4" borderId="6" xfId="0" applyNumberFormat="1" applyFont="1" applyFill="1" applyBorder="1" applyAlignment="1">
      <x:alignment vertical="top" wrapText="1"/>
    </x:xf>
    <x:xf numFmtId="0" fontId="0" fillId="4" borderId="7" xfId="0" applyNumberFormat="1" applyFont="1" applyFill="1" applyBorder="1" applyAlignment="1">
      <x:alignment vertical="top" wrapText="1"/>
    </x:xf>
    <x:xf numFmtId="0" fontId="17" fillId="2" borderId="0" xfId="0" applyNumberFormat="1" applyFont="1" applyFill="1" applyBorder="1" applyAlignment="1">
      <x:alignment horizontal="center" vertical="center" wrapText="1"/>
    </x:xf>
    <x:xf numFmtId="0" fontId="18" fillId="4" borderId="5" xfId="0" applyNumberFormat="1" applyFont="1" applyFill="1" applyBorder="1" applyAlignment="1">
      <x:alignment vertical="top" wrapText="1"/>
    </x:xf>
    <x:xf numFmtId="0" fontId="18" fillId="4" borderId="6" xfId="0" applyNumberFormat="1" applyFont="1" applyFill="1" applyBorder="1" applyAlignment="1">
      <x:alignment vertical="top" wrapText="1"/>
    </x:xf>
    <x:xf numFmtId="0" fontId="18" fillId="4" borderId="7" xfId="0" applyNumberFormat="1" applyFont="1" applyFill="1" applyBorder="1" applyAlignment="1">
      <x:alignment vertical="top" wrapText="1"/>
    </x:xf>
    <x:xf numFmtId="200" fontId="0" fillId="4" borderId="5" xfId="0" applyNumberFormat="1" applyFont="1" applyFill="1" applyBorder="1" applyAlignment="1">
      <x:alignment vertical="top" wrapText="1"/>
    </x:xf>
    <x:xf numFmtId="200" fontId="0" fillId="4" borderId="6" xfId="0" applyNumberFormat="1" applyFont="1" applyFill="1" applyBorder="1" applyAlignment="1">
      <x:alignment vertical="top" wrapText="1"/>
    </x:xf>
    <x:xf numFmtId="200" fontId="0" fillId="4" borderId="7" xfId="0" applyNumberFormat="1" applyFont="1" applyFill="1" applyBorder="1" applyAlignment="1">
      <x:alignment vertical="top" wrapText="1"/>
    </x:xf>
    <x:xf numFmtId="200" fontId="0" fillId="9" borderId="5" xfId="0" applyNumberFormat="1" applyFont="1" applyFill="1" applyBorder="1" applyAlignment="1">
      <x:alignment vertical="top" wrapText="1"/>
    </x:xf>
    <x:xf numFmtId="200" fontId="0" fillId="9" borderId="6" xfId="0" applyNumberFormat="1" applyFont="1" applyFill="1" applyBorder="1" applyAlignment="1">
      <x:alignment vertical="top" wrapText="1"/>
    </x:xf>
    <x:xf numFmtId="200" fontId="0" fillId="9" borderId="7" xfId="0" applyNumberFormat="1" applyFont="1" applyFill="1" applyBorder="1" applyAlignment="1">
      <x:alignment vertical="top" wrapText="1"/>
    </x:xf>
    <x:xf numFmtId="200" fontId="18" fillId="9" borderId="5" xfId="0" applyNumberFormat="1" applyFont="1" applyFill="1" applyBorder="1" applyAlignment="1">
      <x:alignment vertical="top" wrapText="1"/>
    </x:xf>
    <x:xf numFmtId="200" fontId="18" fillId="9" borderId="6" xfId="0" applyNumberFormat="1" applyFont="1" applyFill="1" applyBorder="1" applyAlignment="1">
      <x:alignment vertical="top" wrapText="1"/>
    </x:xf>
    <x:xf numFmtId="200" fontId="18" fillId="9" borderId="7" xfId="0" applyNumberFormat="1" applyFont="1" applyFill="1" applyBorder="1" applyAlignment="1">
      <x:alignment vertical="top" wrapText="1"/>
    </x:xf>
    <x:xf numFmtId="0" fontId="18" fillId="5" borderId="5" xfId="0" applyNumberFormat="1" applyFont="1" applyFill="1" applyBorder="1" applyAlignment="1">
      <x:alignment vertical="top" wrapText="1"/>
    </x:xf>
    <x:xf numFmtId="0" fontId="18" fillId="5" borderId="6" xfId="0" applyNumberFormat="1" applyFont="1" applyFill="1" applyBorder="1" applyAlignment="1">
      <x:alignment vertical="top" wrapText="1"/>
    </x:xf>
    <x:xf numFmtId="0" fontId="18" fillId="5" borderId="7" xfId="0" applyNumberFormat="1" applyFont="1" applyFill="1" applyBorder="1" applyAlignment="1">
      <x:alignment vertical="top" wrapText="1"/>
    </x:xf>
    <x:xf numFmtId="0" fontId="19" fillId="5" borderId="5" xfId="0" applyNumberFormat="1" applyFont="1" applyFill="1" applyBorder="1" applyAlignment="1">
      <x:alignment vertical="top" wrapText="1"/>
    </x:xf>
    <x:xf numFmtId="0" fontId="19" fillId="5" borderId="6" xfId="0" applyNumberFormat="1" applyFont="1" applyFill="1" applyBorder="1" applyAlignment="1">
      <x:alignment vertical="top" wrapText="1"/>
    </x:xf>
    <x:xf numFmtId="0" fontId="19" fillId="5" borderId="7" xfId="0" applyNumberFormat="1" applyFont="1" applyFill="1" applyBorder="1" applyAlignment="1">
      <x:alignment vertical="top" wrapText="1"/>
    </x:xf>
    <x:xf numFmtId="200" fontId="19" fillId="5" borderId="5" xfId="0" applyNumberFormat="1" applyFont="1" applyFill="1" applyBorder="1" applyAlignment="1">
      <x:alignment vertical="top" wrapText="1"/>
    </x:xf>
    <x:xf numFmtId="200" fontId="19" fillId="5" borderId="6" xfId="0" applyNumberFormat="1" applyFont="1" applyFill="1" applyBorder="1" applyAlignment="1">
      <x:alignment vertical="top" wrapText="1"/>
    </x:xf>
    <x:xf numFmtId="200" fontId="19" fillId="5" borderId="7" xfId="0" applyNumberFormat="1" applyFont="1" applyFill="1" applyBorder="1" applyAlignment="1">
      <x:alignment vertical="top" wrapText="1"/>
    </x:xf>
    <x:xf numFmtId="201" fontId="18" fillId="4" borderId="5" xfId="0" applyNumberFormat="1" applyFont="1" applyFill="1" applyBorder="1" applyAlignment="1">
      <x:alignment vertical="top" wrapText="1"/>
    </x:xf>
    <x:xf numFmtId="201" fontId="18" fillId="4" borderId="6" xfId="0" applyNumberFormat="1" applyFont="1" applyFill="1" applyBorder="1" applyAlignment="1">
      <x:alignment vertical="top" wrapText="1"/>
    </x:xf>
    <x:xf numFmtId="201" fontId="18" fillId="4" borderId="7" xfId="0" applyNumberFormat="1" applyFont="1" applyFill="1" applyBorder="1" applyAlignment="1">
      <x:alignment vertical="top" wrapText="1"/>
    </x:xf>
    <x:xf numFmtId="0" fontId="18" fillId="9" borderId="5" xfId="0" applyNumberFormat="1" applyFont="1" applyFill="1" applyBorder="1" applyAlignment="1">
      <x:alignment vertical="top" wrapText="1"/>
    </x:xf>
    <x:xf numFmtId="0" fontId="18" fillId="9" borderId="6" xfId="0" applyNumberFormat="1" applyFont="1" applyFill="1" applyBorder="1" applyAlignment="1">
      <x:alignment vertical="top" wrapText="1"/>
    </x:xf>
    <x:xf numFmtId="0" fontId="18" fillId="9" borderId="7" xfId="0" applyNumberFormat="1" applyFont="1" applyFill="1" applyBorder="1" applyAlignment="1">
      <x:alignment vertical="top" wrapText="1"/>
    </x:xf>
    <x:xf numFmtId="0" fontId="20" fillId="9" borderId="5" xfId="0" applyNumberFormat="1" applyFont="1" applyFill="1" applyBorder="1" applyAlignment="1">
      <x:alignment vertical="top" wrapText="1"/>
    </x:xf>
    <x:xf numFmtId="0" fontId="20" fillId="9" borderId="6" xfId="0" applyNumberFormat="1" applyFont="1" applyFill="1" applyBorder="1" applyAlignment="1">
      <x:alignment vertical="top" wrapText="1"/>
    </x:xf>
    <x:xf numFmtId="0" fontId="20" fillId="9" borderId="7" xfId="0" applyNumberFormat="1" applyFont="1" applyFill="1" applyBorder="1" applyAlignment="1">
      <x:alignment vertical="top" wrapText="1"/>
    </x:xf>
    <x:xf numFmtId="200" fontId="20" fillId="9" borderId="5" xfId="0" applyNumberFormat="1" applyFont="1" applyFill="1" applyBorder="1" applyAlignment="1">
      <x:alignment vertical="top" wrapText="1"/>
    </x:xf>
    <x:xf numFmtId="200" fontId="20" fillId="9" borderId="6" xfId="0" applyNumberFormat="1" applyFont="1" applyFill="1" applyBorder="1" applyAlignment="1">
      <x:alignment vertical="top" wrapText="1"/>
    </x:xf>
    <x:xf numFmtId="200" fontId="20" fillId="9" borderId="7" xfId="0" applyNumberFormat="1" applyFont="1" applyFill="1" applyBorder="1" applyAlignment="1">
      <x:alignment vertical="top" wrapText="1"/>
    </x:xf>
    <x:xf numFmtId="0" fontId="18" fillId="4" borderId="5" xfId="0" applyNumberFormat="1" applyFont="1" applyFill="1" applyBorder="1" applyAlignment="1">
      <x:alignment horizontal="center" vertical="top" wrapText="1"/>
    </x:xf>
    <x:xf numFmtId="200" fontId="19" fillId="5" borderId="5" xfId="0" applyNumberFormat="1" applyFont="1" applyFill="1" applyBorder="1" applyAlignment="1">
      <x:alignment horizontal="center" vertical="top" wrapText="1"/>
    </x:xf>
    <x:xf numFmtId="201" fontId="18" fillId="4" borderId="5" xfId="0" applyNumberFormat="1" applyFont="1" applyFill="1" applyBorder="1" applyAlignment="1">
      <x:alignment horizontal="center" vertical="top" wrapText="1"/>
    </x:xf>
    <x:xf numFmtId="200" fontId="20" fillId="9" borderId="5" xfId="0" applyNumberFormat="1" applyFont="1" applyFill="1" applyBorder="1" applyAlignment="1">
      <x:alignment horizontal="center" vertical="top" wrapText="1"/>
    </x:xf>
    <x:xf numFmtId="0" fontId="18" fillId="4" borderId="6" xfId="0" applyNumberFormat="1" applyFont="1" applyFill="1" applyBorder="1" applyAlignment="1">
      <x:alignment horizontal="center" vertical="top" wrapText="1"/>
    </x:xf>
    <x:xf numFmtId="200" fontId="19" fillId="5" borderId="6" xfId="0" applyNumberFormat="1" applyFont="1" applyFill="1" applyBorder="1" applyAlignment="1">
      <x:alignment horizontal="center" vertical="top" wrapText="1"/>
    </x:xf>
    <x:xf numFmtId="201" fontId="18" fillId="4" borderId="6" xfId="0" applyNumberFormat="1" applyFont="1" applyFill="1" applyBorder="1" applyAlignment="1">
      <x:alignment horizontal="center" vertical="top" wrapText="1"/>
    </x:xf>
    <x:xf numFmtId="200" fontId="20" fillId="9" borderId="6" xfId="0" applyNumberFormat="1" applyFont="1" applyFill="1" applyBorder="1" applyAlignment="1">
      <x:alignment horizontal="center" vertical="top" wrapText="1"/>
    </x:xf>
    <x:xf numFmtId="0" fontId="18" fillId="4" borderId="7" xfId="0" applyNumberFormat="1" applyFont="1" applyFill="1" applyBorder="1" applyAlignment="1">
      <x:alignment horizontal="center" vertical="top" wrapText="1"/>
    </x:xf>
    <x:xf numFmtId="200" fontId="19" fillId="5" borderId="7" xfId="0" applyNumberFormat="1" applyFont="1" applyFill="1" applyBorder="1" applyAlignment="1">
      <x:alignment horizontal="center" vertical="top" wrapText="1"/>
    </x:xf>
    <x:xf numFmtId="201" fontId="18" fillId="4" borderId="7" xfId="0" applyNumberFormat="1" applyFont="1" applyFill="1" applyBorder="1" applyAlignment="1">
      <x:alignment horizontal="center" vertical="top" wrapText="1"/>
    </x:xf>
    <x:xf numFmtId="200" fontId="20" fillId="9" borderId="7" xfId="0" applyNumberFormat="1" applyFont="1" applyFill="1" applyBorder="1" applyAlignment="1">
      <x:alignment horizontal="center" vertical="top" wrapText="1"/>
    </x:xf>
    <x:xf numFmtId="0" fontId="0" fillId="5" borderId="5" xfId="0" applyNumberFormat="1" applyFont="1" applyFill="1" applyBorder="1" applyAlignment="1">
      <x:alignment vertical="top" wrapText="1"/>
    </x:xf>
    <x:xf numFmtId="0" fontId="0" fillId="5" borderId="6" xfId="0" applyNumberFormat="1" applyFont="1" applyFill="1" applyBorder="1" applyAlignment="1">
      <x:alignment vertical="top" wrapText="1"/>
    </x:xf>
    <x:xf numFmtId="0" fontId="0" fillId="5" borderId="7" xfId="0" applyNumberFormat="1" applyFont="1" applyFill="1" applyBorder="1" applyAlignment="1">
      <x:alignment vertical="top" wrapText="1"/>
    </x:xf>
    <x:xf numFmtId="0" fontId="21" fillId="5" borderId="5" xfId="0" applyNumberFormat="1" applyFont="1" applyFill="1" applyBorder="1" applyAlignment="1">
      <x:alignment vertical="top" wrapText="1"/>
    </x:xf>
    <x:xf numFmtId="0" fontId="21" fillId="5" borderId="6" xfId="0" applyNumberFormat="1" applyFont="1" applyFill="1" applyBorder="1" applyAlignment="1">
      <x:alignment vertical="top" wrapText="1"/>
    </x:xf>
    <x:xf numFmtId="0" fontId="21" fillId="5" borderId="7" xfId="0" applyNumberFormat="1" applyFont="1" applyFill="1" applyBorder="1" applyAlignment="1">
      <x:alignment vertical="top" wrapText="1"/>
    </x:xf>
    <x:xf numFmtId="200" fontId="21" fillId="5" borderId="5" xfId="0" applyNumberFormat="1" applyFont="1" applyFill="1" applyBorder="1" applyAlignment="1">
      <x:alignment vertical="top" wrapText="1"/>
    </x:xf>
    <x:xf numFmtId="200" fontId="21" fillId="5" borderId="6" xfId="0" applyNumberFormat="1" applyFont="1" applyFill="1" applyBorder="1" applyAlignment="1">
      <x:alignment vertical="top" wrapText="1"/>
    </x:xf>
    <x:xf numFmtId="200" fontId="21" fillId="5" borderId="7" xfId="0" applyNumberFormat="1" applyFont="1" applyFill="1" applyBorder="1" applyAlignment="1">
      <x:alignment vertical="top" wrapText="1"/>
    </x:xf>
    <x:xf numFmtId="201" fontId="0" fillId="4" borderId="5" xfId="0" applyNumberFormat="1" applyFont="1" applyFill="1" applyBorder="1" applyAlignment="1">
      <x:alignment vertical="top" wrapText="1"/>
    </x:xf>
    <x:xf numFmtId="201" fontId="0" fillId="4" borderId="6" xfId="0" applyNumberFormat="1" applyFont="1" applyFill="1" applyBorder="1" applyAlignment="1">
      <x:alignment vertical="top" wrapText="1"/>
    </x:xf>
    <x:xf numFmtId="201" fontId="0" fillId="4" borderId="7" xfId="0" applyNumberFormat="1" applyFont="1" applyFill="1" applyBorder="1" applyAlignment="1">
      <x:alignment vertical="top" wrapText="1"/>
    </x:xf>
    <x:xf numFmtId="200" fontId="18" fillId="4" borderId="5" xfId="0" applyNumberFormat="1" applyFont="1" applyFill="1" applyBorder="1" applyAlignment="1">
      <x:alignment vertical="top" wrapText="1"/>
    </x:xf>
    <x:xf numFmtId="200" fontId="18" fillId="4" borderId="6" xfId="0" applyNumberFormat="1" applyFont="1" applyFill="1" applyBorder="1" applyAlignment="1">
      <x:alignment vertical="top" wrapText="1"/>
    </x:xf>
    <x:xf numFmtId="200" fontId="18" fillId="4" borderId="7" xfId="0" applyNumberFormat="1" applyFont="1" applyFill="1" applyBorder="1" applyAlignment="1">
      <x:alignment vertical="top" wrapText="1"/>
    </x:xf>
    <x:xf numFmtId="0" fontId="22" fillId="2" borderId="0" xfId="0" applyNumberFormat="1" applyFont="1" applyFill="1" applyBorder="1"/>
    <x:xf numFmtId="0" fontId="22" fillId="2" borderId="0" xfId="0" applyNumberFormat="1" applyFont="1" applyFill="1" applyBorder="1" applyAlignment="1">
      <x:alignment horizontal="center"/>
    </x:xf>
    <x:xf numFmtId="0" fontId="22" fillId="2" borderId="0" xfId="0" applyNumberFormat="1" applyFont="1" applyFill="1" applyBorder="1" applyAlignment="1">
      <x:alignment horizontal="center" vertical="center"/>
    </x:xf>
    <x:xf numFmtId="0" fontId="0" fillId="4" borderId="8" xfId="0" applyNumberFormat="1" applyFont="1" applyFill="1" applyBorder="1"/>
    <x:xf numFmtId="0" fontId="0" fillId="4" borderId="9" xfId="0" applyNumberFormat="1" applyFont="1" applyFill="1" applyBorder="1"/>
    <x:xf numFmtId="0" fontId="0" fillId="4" borderId="10" xfId="0" applyNumberFormat="1" applyFont="1" applyFill="1" applyBorder="1"/>
    <x:xf numFmtId="0" fontId="0" fillId="4" borderId="11" xfId="0" applyNumberFormat="1" applyFont="1" applyFill="1" applyBorder="1"/>
    <x:xf numFmtId="0" fontId="0" fillId="4" borderId="8" xfId="0" applyNumberFormat="1" applyFont="1" applyFill="1" applyBorder="1" applyAlignment="1">
      <x:alignment horizontal="center"/>
    </x:xf>
    <x:xf numFmtId="0" fontId="0" fillId="4" borderId="9" xfId="0" applyNumberFormat="1" applyFont="1" applyFill="1" applyBorder="1" applyAlignment="1">
      <x:alignment horizontal="center"/>
    </x:xf>
    <x:xf numFmtId="0" fontId="0" fillId="4" borderId="10" xfId="0" applyNumberFormat="1" applyFont="1" applyFill="1" applyBorder="1" applyAlignment="1">
      <x:alignment horizontal="center"/>
    </x:xf>
    <x:xf numFmtId="0" fontId="0" fillId="4" borderId="11" xfId="0" applyNumberFormat="1" applyFont="1" applyFill="1" applyBorder="1" applyAlignment="1">
      <x:alignment horizontal="center"/>
    </x:xf>
    <x:xf numFmtId="0" fontId="0" fillId="4" borderId="8" xfId="0" applyNumberFormat="1" applyFont="1" applyFill="1" applyBorder="1" applyAlignment="1">
      <x:alignment horizontal="center" vertical="center"/>
    </x:xf>
    <x:xf numFmtId="0" fontId="0" fillId="4" borderId="9" xfId="0" applyNumberFormat="1" applyFont="1" applyFill="1" applyBorder="1" applyAlignment="1">
      <x:alignment horizontal="center" vertical="center"/>
    </x:xf>
    <x:xf numFmtId="0" fontId="0" fillId="4" borderId="10" xfId="0" applyNumberFormat="1" applyFont="1" applyFill="1" applyBorder="1" applyAlignment="1">
      <x:alignment horizontal="center" vertical="center"/>
    </x:xf>
    <x:xf numFmtId="0" fontId="0" fillId="4" borderId="11" xfId="0" applyNumberFormat="1" applyFont="1" applyFill="1" applyBorder="1" applyAlignment="1">
      <x:alignment horizontal="center" vertical="center"/>
    </x:xf>
    <x:xf numFmtId="0" fontId="3" fillId="4" borderId="8" xfId="0" applyNumberFormat="1" applyFont="1" applyFill="1" applyBorder="1" applyAlignment="1">
      <x:alignment horizontal="center" vertical="center"/>
    </x:xf>
    <x:xf numFmtId="0" fontId="3" fillId="4" borderId="9" xfId="0" applyNumberFormat="1" applyFont="1" applyFill="1" applyBorder="1" applyAlignment="1">
      <x:alignment horizontal="center" vertical="center"/>
    </x:xf>
    <x:xf numFmtId="0" fontId="23" fillId="4" borderId="10" xfId="0" applyNumberFormat="1" applyFont="1" applyFill="1" applyBorder="1" applyAlignment="1">
      <x:alignment horizontal="center" vertical="center"/>
    </x:xf>
    <x:xf numFmtId="0" fontId="23" fillId="4" borderId="11" xfId="0" applyNumberFormat="1" applyFont="1" applyFill="1" applyBorder="1" applyAlignment="1">
      <x:alignment horizontal="center" vertical="center"/>
    </x:xf>
    <x:xf numFmtId="200" fontId="23" fillId="4" borderId="10" xfId="0" applyNumberFormat="1" applyFont="1" applyFill="1" applyBorder="1" applyAlignment="1">
      <x:alignment horizontal="center" vertical="center"/>
    </x:xf>
    <x:xf numFmtId="0" fontId="0" fillId="8" borderId="5" xfId="0" applyNumberFormat="1" applyFont="1" applyFill="1" applyBorder="1" applyAlignment="1">
      <x:alignment vertical="center" wrapText="1"/>
    </x:xf>
    <x:xf numFmtId="0" fontId="0" fillId="8" borderId="6" xfId="0" applyNumberFormat="1" applyFont="1" applyFill="1" applyBorder="1" applyAlignment="1">
      <x:alignment vertical="center" wrapText="1"/>
    </x:xf>
    <x:xf numFmtId="0" fontId="24" fillId="8" borderId="5" xfId="0" applyNumberFormat="1" applyFont="1" applyFill="1" applyBorder="1" applyAlignment="1">
      <x:alignment vertical="center" wrapText="1"/>
    </x:xf>
    <x:xf numFmtId="0" fontId="24" fillId="8" borderId="6" xfId="0" applyNumberFormat="1" applyFont="1" applyFill="1" applyBorder="1" applyAlignment="1">
      <x:alignment vertical="center" wrapText="1"/>
    </x:xf>
    <x:xf numFmtId="0" fontId="24" fillId="8" borderId="5" xfId="0" applyNumberFormat="1" applyFont="1" applyFill="1" applyBorder="1" applyAlignment="1">
      <x:alignment horizontal="center" vertical="center" wrapText="1"/>
    </x:xf>
    <x:xf numFmtId="0" fontId="24" fillId="8" borderId="6" xfId="0" applyNumberFormat="1" applyFont="1" applyFill="1" applyBorder="1" applyAlignment="1">
      <x:alignment horizontal="center" vertical="center" wrapText="1"/>
    </x:xf>
    <x:xf numFmtId="0" fontId="3" fillId="4" borderId="5" xfId="0" applyNumberFormat="1" applyFont="1" applyFill="1" applyBorder="1" applyAlignment="1">
      <x:alignment vertical="center" wrapText="1"/>
    </x:xf>
    <x:xf numFmtId="0" fontId="3" fillId="4" borderId="6" xfId="0" applyNumberFormat="1" applyFont="1" applyFill="1" applyBorder="1" applyAlignment="1">
      <x:alignment vertical="center" wrapText="1"/>
    </x:xf>
    <x:xf numFmtId="0" fontId="3" fillId="3" borderId="0" xfId="0" applyNumberFormat="1" applyFont="1" applyFill="1" applyBorder="1"/>
    <x:xf numFmtId="0" fontId="3" fillId="3" borderId="5" xfId="0" applyNumberFormat="1" applyFont="1" applyFill="1" applyBorder="1"/>
    <x:xf numFmtId="0" fontId="0" fillId="0" borderId="6" xfId="0" applyNumberFormat="1" applyFont="1" applyFill="1" applyBorder="1"/>
    <x:xf numFmtId="201" fontId="0" fillId="0" borderId="6" xfId="0" applyNumberFormat="1" applyFont="1" applyFill="1" applyBorder="1"/>
    <x:xf numFmtId="0" fontId="21" fillId="5" borderId="0" xfId="0" applyNumberFormat="1" applyFont="1" applyFill="1" applyBorder="1"/>
    <x:xf numFmtId="0" fontId="21" fillId="5" borderId="0" xfId="0" applyNumberFormat="1" applyFont="1" applyFill="1" applyBorder="1" applyAlignment="1">
      <x:alignment wrapText="1"/>
    </x:xf>
    <x:xf numFmtId="0" fontId="21" fillId="5" borderId="0" xfId="0" applyNumberFormat="1" applyFont="1" applyFill="1" applyBorder="1" applyAlignment="1">
      <x:alignment horizontal="center" wrapText="1"/>
    </x:xf>
    <x:xf numFmtId="0" fontId="21" fillId="5" borderId="0" xfId="0" applyNumberFormat="1" applyFont="1" applyFill="1" applyBorder="1" applyAlignment="1">
      <x:alignment horizontal="center" vertical="center" wrapText="1"/>
    </x:xf>
    <x:xf numFmtId="0" fontId="12" fillId="4" borderId="8" xfId="0" applyNumberFormat="1" applyFont="1" applyFill="1" applyBorder="1" applyAlignment="1">
      <x:alignment horizontal="center" vertical="center"/>
    </x:xf>
    <x:xf numFmtId="0" fontId="12" fillId="4" borderId="9" xfId="0" applyNumberFormat="1" applyFont="1" applyFill="1" applyBorder="1" applyAlignment="1">
      <x:alignment horizontal="center" vertical="center"/>
    </x:xf>
    <x:xf numFmtId="0" fontId="25" fillId="4" borderId="10" xfId="0" applyNumberFormat="1" applyFont="1" applyFill="1" applyBorder="1" applyAlignment="1">
      <x:alignment horizontal="center" vertical="center"/>
    </x:xf>
    <x:xf numFmtId="0" fontId="25" fillId="4" borderId="11" xfId="0" applyNumberFormat="1" applyFont="1" applyFill="1" applyBorder="1" applyAlignment="1">
      <x:alignment horizontal="center" vertical="center"/>
    </x:xf>
    <x:xf numFmtId="200" fontId="25" fillId="4" borderId="10" xfId="0" applyNumberFormat="1" applyFont="1" applyFill="1" applyBorder="1" applyAlignment="1">
      <x:alignment horizontal="center" vertical="center"/>
    </x:xf>
    <x:xf numFmtId="0" fontId="9" fillId="8" borderId="5" xfId="0" applyNumberFormat="1" applyFont="1" applyFill="1" applyBorder="1" applyAlignment="1">
      <x:alignment horizontal="center" vertical="center" wrapText="1"/>
    </x:xf>
    <x:xf numFmtId="0" fontId="12" fillId="4" borderId="5" xfId="0" applyNumberFormat="1" applyFont="1" applyFill="1" applyBorder="1" applyAlignment="1">
      <x:alignment vertical="center" wrapText="1"/>
    </x:xf>
    <x:xf numFmtId="0" fontId="9" fillId="8" borderId="6" xfId="0" applyNumberFormat="1" applyFont="1" applyFill="1" applyBorder="1" applyAlignment="1">
      <x:alignment horizontal="center" vertical="center" wrapText="1"/>
    </x:xf>
    <x:xf numFmtId="0" fontId="12" fillId="4" borderId="6" xfId="0" applyNumberFormat="1" applyFont="1" applyFill="1" applyBorder="1" applyAlignment="1">
      <x:alignment vertical="center" wrapText="1"/>
    </x:xf>
    <x:xf numFmtId="0" fontId="12" fillId="3" borderId="5" xfId="0" applyNumberFormat="1" applyFont="1" applyFill="1" applyBorder="1"/>
    <x:xf numFmtId="0" fontId="9" fillId="8" borderId="0" xfId="0" applyNumberFormat="1" applyFont="1" applyFill="1" applyBorder="1"/>
    <x:xf numFmtId="0" fontId="11" fillId="0" borderId="6" xfId="0" applyNumberFormat="1" applyFont="1" applyFill="1" applyBorder="1"/>
    <x:xf numFmtId="201" fontId="11" fillId="0" borderId="6" xfId="0" applyNumberFormat="1" applyFont="1" applyFill="1" applyBorder="1"/>
    <x:xf numFmtId="0" fontId="11" fillId="4" borderId="5" xfId="0" applyNumberFormat="1" applyFont="1" applyFill="1" applyBorder="1" applyAlignment="1">
      <x:alignment wrapText="1"/>
    </x:xf>
    <x:xf numFmtId="0" fontId="11" fillId="4" borderId="6" xfId="0" applyNumberFormat="1" applyFont="1" applyFill="1" applyBorder="1" applyAlignment="1">
      <x:alignment wrapText="1"/>
    </x:xf>
    <x:xf numFmtId="0" fontId="13" fillId="5" borderId="0" xfId="0" applyNumberFormat="1" applyFont="1" applyFill="1" applyBorder="1" applyAlignment="1">
      <x:alignment horizontal="center" vertical="center" wrapText="1"/>
    </x:xf>
  </x:cellXfs>
  <x:cellStyles count="1">
    <x:cellStyle name="Normal" xfId="0"/>
  </x:cellStyles>
  <x:dxfs count="10">
    <x:dxf>
      <x:font>
        <x:color rgb="FF274E13"/>
      </x:font>
      <x:fill>
        <x:patternFill patternType="solid">
          <x:bgColor rgb="FFD9EAD3"/>
        </x:patternFill>
      </x:fill>
    </x:dxf>
    <x:dxf>
      <x:font>
        <x:color rgb="FF7F6000"/>
      </x:font>
      <x:fill>
        <x:patternFill patternType="solid">
          <x:bgColor rgb="FFFFF2CC"/>
        </x:patternFill>
      </x:fill>
    </x:dxf>
    <x:dxf>
      <x:font>
        <x:b/>
        <x:color rgb="FF990000"/>
      </x:font>
      <x:fill>
        <x:patternFill patternType="solid">
          <x:bgColor rgb="FFF4CCCC"/>
        </x:patternFill>
      </x:fill>
    </x:dxf>
    <x:dxf>
      <x:border>
        <x:left style="thick">
          <x:color rgb="FF990000"/>
        </x:left>
      </x:border>
    </x:dxf>
    <x:dxf>
      <x:font>
        <x:b/>
        <x:color rgb="FFC13584"/>
      </x:font>
    </x:dxf>
    <x:dxf>
      <x:font>
        <x:b/>
        <x:color rgb="FF1877F2"/>
      </x:font>
    </x:dxf>
    <x:dxf>
      <x:font>
        <x:b/>
        <x:color rgb="FF151515"/>
      </x:font>
    </x:dxf>
    <x:dxf>
      <x:font>
        <x:color rgb="FF274E13"/>
      </x:font>
      <x:fill>
        <x:patternFill patternType="solid">
          <x:bgColor rgb="FFD9EAD3"/>
        </x:patternFill>
      </x:fill>
    </x:dxf>
    <x:dxf>
      <x:font>
        <x:color rgb="FF7F6000"/>
      </x:font>
      <x:fill>
        <x:patternFill patternType="solid">
          <x:bgColor rgb="FFFFF2CC"/>
        </x:patternFill>
      </x:fill>
    </x:dxf>
    <x:dxf>
      <x:font>
        <x:b/>
        <x:color rgb="FF990000"/>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a98c62b08a34083" /><Relationship Type="http://schemas.openxmlformats.org/officeDocument/2006/relationships/theme" Target="/xl/theme/theme1.xml" Id="Rf301ea66c1824b78" /><Relationship Type="http://schemas.openxmlformats.org/officeDocument/2006/relationships/sharedStrings" Target="/xl/sharedStrings.xml" Id="R63524031c0d74139" /><Relationship Type="http://schemas.openxmlformats.org/officeDocument/2006/relationships/worksheet" Target="/xl/worksheets/sheet1.xml" Id="R498ba9452e554357" /><Relationship Type="http://schemas.openxmlformats.org/officeDocument/2006/relationships/worksheet" Target="/xl/worksheets/sheet2.xml" Id="R911d829745a14641" /><Relationship Type="http://schemas.openxmlformats.org/officeDocument/2006/relationships/worksheet" Target="/xl/worksheets/sheet3.xml" Id="R6114fa736a9c413a" /><Relationship Type="http://schemas.openxmlformats.org/officeDocument/2006/relationships/worksheet" Target="/xl/worksheets/sheet4.xml" Id="Rd77ea4d994db4e39" /><Relationship Type="http://schemas.openxmlformats.org/officeDocument/2006/relationships/worksheet" Target="/xl/worksheets/sheet5.xml" Id="R0c87f2e6bf6142c7" /><Relationship Type="http://schemas.openxmlformats.org/officeDocument/2006/relationships/worksheet" Target="/xl/worksheets/sheet6.xml" Id="R4a6a3b9a20174544" /><Relationship Type="http://schemas.microsoft.com/office/2017/10/relationships/person" Target="/xl/persons/person.xml" Id="R720ca58a74674084" /></Relationships>
</file>

<file path=xl/persons/person.xml><?xml version="1.0" encoding="utf-8"?>
<xltc:personList xmlns:xltc="http://schemas.microsoft.com/office/spreadsheetml/2018/threadedcomments">
  <xltc:person displayName="Arnaldo Di Fonso" id="{402C3AF3-BB9F-4B73-BE39-6D1C45AB370A}"/>
</xltc:personList>
</file>

<file path=xl/tables/table1.xml><?xml version="1.0" encoding="utf-8"?>
<x:table xmlns:x="http://schemas.openxmlformats.org/spreadsheetml/2006/main" id="4" name="SessionsTable" displayName="SessionsTable" ref="A1:K28" headerRowCount="1" totalsRowCount="0" totalsRowShown="0">
  <x:tableColumns count="11">
    <x:tableColumn id="1" name="Sessione"/>
    <x:tableColumn id="2" name="Data in cui devi farlo"/>
    <x:tableColumn id="3" name="Ora lavoro"/>
    <x:tableColumn id="4" name="Piattaforma / strumento"/>
    <x:tableColumn id="5" name="Contenuti dal"/>
    <x:tableColumn id="6" name="Contenuti fino al"/>
    <x:tableColumn id="7" name="Cosa programmare"/>
    <x:tableColumn id="8" name="Numero azioni"/>
    <x:tableColumn id="9" name="Procedura"/>
    <x:tableColumn id="10" name="Stato"/>
    <x:tableColumn id="11" name="Note"/>
  </x:tableColumns>
  <x:tableStyleInfo name="TableStyleMedium2" showFirstColumn="0" showLastColumn="0" showRowStripes="1" showColumnStripes="0"/>
</x:table>
</file>

<file path=xl/tables/table2.xml><?xml version="1.0" encoding="utf-8"?>
<x:table xmlns:x="http://schemas.openxmlformats.org/spreadsheetml/2006/main" id="3" name="CalendarTable" displayName="CalendarTable" ref="A1:V239" headerRowCount="1" totalsRowCount="0" totalsRowShown="0">
  <x:tableColumns count="22">
    <x:tableColumn id="1" name="Task"/>
    <x:tableColumn id="2" name="Settimana"/>
    <x:tableColumn id="3" name="Data in cui devi farlo"/>
    <x:tableColumn id="4" name="Ora lavoro"/>
    <x:tableColumn id="5" name="Data pubblicazione"/>
    <x:tableColumn id="6" name="Giorno pubblicazione"/>
    <x:tableColumn id="7" name="Ora pubblicazione"/>
    <x:tableColumn id="8" name="Piattaforma"/>
    <x:tableColumn id="9" name="Formato"/>
    <x:tableColumn id="10" name="Libro"/>
    <x:tableColumn id="11" name="Contenuto"/>
    <x:tableColumn id="12" name="Titolo"/>
    <x:tableColumn id="13" name="Cosa devi fare"/>
    <x:tableColumn id="14" name="File principale"/>
    <x:tableColumn id="15" name="Copertina / file aggiuntivo"/>
    <x:tableColumn id="16" name="Caption / testo da copiare"/>
    <x:tableColumn id="17" name="Link"/>
    <x:tableColumn id="18" name="Strumento"/>
    <x:tableColumn id="19" name="Programmazione"/>
    <x:tableColumn id="20" name="Stato"/>
    <x:tableColumn id="21" name="Controlli e note"/>
    <x:tableColumn id="22" name="Scaduto?"/>
  </x:tableColumns>
  <x:tableStyleInfo name="TableStyleMedium2" showFirstColumn="0" showLastColumn="0" showRowStripes="1" showColumnStripes="0"/>
</x:table>
</file>

<file path=xl/tables/table3.xml><?xml version="1.0" encoding="utf-8"?>
<x:table xmlns:x="http://schemas.openxmlformats.org/spreadsheetml/2006/main" id="1" name="TextsTable" displayName="TextsTable" ref="A1:N35" headerRowCount="1" totalsRowCount="0" totalsRowShown="0">
  <x:tableColumns count="14">
    <x:tableColumn id="1" name="Chiave"/>
    <x:tableColumn id="2" name="Libro"/>
    <x:tableColumn id="3" name="Contenuto"/>
    <x:tableColumn id="4" name="Titolo"/>
    <x:tableColumn id="5" name="Caption Instagram"/>
    <x:tableColumn id="6" name="Caption Facebook"/>
    <x:tableColumn id="7" name="Caption TikTok"/>
    <x:tableColumn id="8" name="Link Storia Instagram"/>
    <x:tableColumn id="9" name="Link Storia Facebook"/>
    <x:tableColumn id="10" name="Pagina libro"/>
    <x:tableColumn id="11" name="Amazon cartaceo"/>
    <x:tableColumn id="12" name="Amazon Kindle"/>
    <x:tableColumn id="13" name="File caption originale"/>
    <x:tableColumn id="14" name="CTA Storia"/>
  </x:tableColumns>
  <x:tableStyleInfo name="TableStyleMedium2" showFirstColumn="0" showLastColumn="0" showRowStripes="1" showColumnStripes="0"/>
</x:table>
</file>

<file path=xl/tables/table4.xml><?xml version="1.0" encoding="utf-8"?>
<x:table xmlns:x="http://schemas.openxmlformats.org/spreadsheetml/2006/main" id="2" name="CampaignsTable" displayName="CampaignsTable" ref="A1:T35" headerRowCount="1" totalsRowCount="0" totalsRowShown="0">
  <x:tableColumns count="20">
    <x:tableColumn id="1" name="N."/>
    <x:tableColumn id="2" name="Settimana"/>
    <x:tableColumn id="3" name="Slot"/>
    <x:tableColumn id="4" name="Blocco"/>
    <x:tableColumn id="5" name="Offset Reel"/>
    <x:tableColumn id="6" name="Data lavoro Meta/Instagram"/>
    <x:tableColumn id="7" name="Data lavoro TikTok"/>
    <x:tableColumn id="8" name="Data Reel"/>
    <x:tableColumn id="9" name="Data Storia"/>
    <x:tableColumn id="10" name="Data Carosello"/>
    <x:tableColumn id="11" name="Libro"/>
    <x:tableColumn id="12" name="Contenuto"/>
    <x:tableColumn id="13" name="Titolo"/>
    <x:tableColumn id="14" name="Pacchetto ZIP"/>
    <x:tableColumn id="15" name="Video"/>
    <x:tableColumn id="16" name="Copertina"/>
    <x:tableColumn id="17" name="Storia"/>
    <x:tableColumn id="18" name="Caroselli 01–03"/>
    <x:tableColumn id="19" name="Caption"/>
    <x:tableColumn id="20" name="Pagina libro"/>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B8" dT="2026-07-29T12:28:52.293" personId="{402C3AF3-BB9F-4B73-BE39-6D1C45AB370A}" id="{9190DA16-FBA7-5343-0C2A-41665BD3FD71}">
    <xltc:text>Formula automatica: usa la data bloccata quando presente; altrimenti sceglie la data più tarda fra la data minima e il prossimo martedì utile, lasciando i giorni di preparazione indicati.</xltc:text>
  </xltc:threadedComment>
</xltc:ThreadedComments>
</file>

<file path=xl/worksheets/_rels/sheet2.xml.rels>&#65279;<?xml version="1.0" encoding="utf-8"?><Relationships xmlns="http://schemas.openxmlformats.org/package/2006/relationships"><Relationship Type="http://schemas.openxmlformats.org/officeDocument/2006/relationships/comments" Target="/xl/comments1.xml" Id="R453a3f134d8d4411" /><Relationship Type="http://schemas.openxmlformats.org/officeDocument/2006/relationships/vmlDrawing" Target="/xl/drawings/vmldrawing.vml" Id="R2d1810ad310c4144" /><Relationship Type="http://schemas.microsoft.com/office/2017/10/relationships/threadedComment" Target="/xl/threadedcomments/threadedcomment.xml" Id="Rf857044df0264c8f" /></Relationships>
</file>

<file path=xl/worksheets/_rels/sheet3.xml.rels>&#65279;<?xml version="1.0" encoding="utf-8"?><Relationships xmlns="http://schemas.openxmlformats.org/package/2006/relationships"><Relationship Type="http://schemas.openxmlformats.org/officeDocument/2006/relationships/table" Target="/xl/tables/table1.xml" Id="R0bb0bbb7ce7b4364" /></Relationships>
</file>

<file path=xl/worksheets/_rels/sheet4.xml.rels>&#65279;<?xml version="1.0" encoding="utf-8"?><Relationships xmlns="http://schemas.openxmlformats.org/package/2006/relationships"><Relationship Type="http://schemas.openxmlformats.org/officeDocument/2006/relationships/table" Target="/xl/tables/table2.xml" Id="Rd2b468457e9e4db0" /></Relationships>
</file>

<file path=xl/worksheets/_rels/sheet5.xml.rels>&#65279;<?xml version="1.0" encoding="utf-8"?><Relationships xmlns="http://schemas.openxmlformats.org/package/2006/relationships"><Relationship Type="http://schemas.openxmlformats.org/officeDocument/2006/relationships/table" Target="/xl/tables/table3.xml" Id="R802804290bdf4aed" /></Relationships>
</file>

<file path=xl/worksheets/_rels/sheet6.xml.rels>&#65279;<?xml version="1.0" encoding="utf-8"?><Relationships xmlns="http://schemas.openxmlformats.org/package/2006/relationships"><Relationship Type="http://schemas.openxmlformats.org/officeDocument/2006/relationships/table" Target="/xl/tables/table4.xml" Id="Rdff09d7a49854bd5" /></Relationships>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20" hidden="0" customWidth="1"/>
    <x:col min="3" max="3" width="31" hidden="0" customWidth="1"/>
    <x:col min="4" max="4" width="23" hidden="0" customWidth="1"/>
    <x:col min="5" max="5" width="5" hidden="0" customWidth="1"/>
    <x:col min="6" max="6" width="13" hidden="0" customWidth="1"/>
    <x:col min="7" max="7" width="17" hidden="0" customWidth="1"/>
    <x:col min="8" max="8" width="34" hidden="0" customWidth="1"/>
  </x:cols>
  <x:sheetData>
    <x:row r="1" ht="28" customHeight="1">
      <x:c r="A1" s="53" t="str">
        <x:v>CALENDARIO SOCIAL · DIARI DI PELLE</x:v>
      </x:c>
      <x:c r="B1" s="53"/>
      <x:c r="C1" s="53"/>
      <x:c r="D1" s="53"/>
      <x:c r="E1" s="53"/>
      <x:c r="F1" s="53"/>
      <x:c r="G1" s="53"/>
      <x:c r="H1" s="53"/>
    </x:row>
    <x:row r="2" ht="28" customHeight="1">
      <x:c r="A2" s="53"/>
      <x:c r="B2" s="53"/>
      <x:c r="C2" s="53"/>
      <x:c r="D2" s="53"/>
      <x:c r="E2" s="53"/>
      <x:c r="F2" s="53"/>
      <x:c r="G2" s="53"/>
      <x:c r="H2" s="53"/>
    </x:row>
    <x:row r="3">
      <x:c r="A3" s="54" t="str">
        <x:v>Calendario autoricalcolante per Instagram, Facebook e TikTok</x:v>
      </x:c>
      <x:c r="B3" s="54"/>
      <x:c r="C3" s="54"/>
      <x:c r="D3" s="54"/>
      <x:c r="E3" s="54"/>
      <x:c r="F3" s="54"/>
      <x:c r="G3" s="54"/>
      <x:c r="H3" s="54"/>
    </x:row>
    <x:row r="4">
      <x:c r="A4" s="55"/>
      <x:c r="B4" s="55"/>
      <x:c r="C4" s="55"/>
      <x:c r="D4" s="55"/>
      <x:c r="E4" s="55"/>
      <x:c r="F4" s="55"/>
      <x:c r="G4" s="55"/>
      <x:c r="H4" s="55"/>
    </x:row>
    <x:row r="5">
      <x:c r="A5" s="176" t="str">
        <x:v>AZIONI TOTALI</x:v>
      </x:c>
      <x:c r="B5" s="177" t="str"/>
      <x:c r="C5" s="176" t="str">
        <x:v>PRIMO REEL</x:v>
      </x:c>
      <x:c r="D5" s="177" t="str"/>
      <x:c r="E5" s="176" t="str">
        <x:v>ULTIMA PUBBLICAZIONE</x:v>
      </x:c>
      <x:c r="F5" s="177" t="str"/>
      <x:c r="G5" s="176" t="str">
        <x:v>CAMPAGNE</x:v>
      </x:c>
      <x:c r="H5" s="177" t="str"/>
    </x:row>
    <x:row r="6">
      <x:c r="A6" s="178" t="n">
        <x:f>COUNTA('CALENDARIO'!$A$2:$A$239)</x:f>
        <x:v>238</x:v>
      </x:c>
      <x:c r="B6" s="179"/>
      <x:c r="C6" s="180" t="n">
        <x:f>'CONFIG'!$B$8</x:f>
        <x:v>46238</x:v>
      </x:c>
      <x:c r="D6" s="179"/>
      <x:c r="E6" s="180" t="n">
        <x:f>MAX('CALENDARIO'!$E$2:$E$239)</x:f>
        <x:v>46355</x:v>
      </x:c>
      <x:c r="F6" s="179"/>
      <x:c r="G6" s="178" t="n">
        <x:f>COUNTA('CAMPAGNE'!$A$2:$A$35)</x:f>
        <x:v>34</x:v>
      </x:c>
      <x:c r="H6" s="179"/>
    </x:row>
    <x:row r="7">
      <x:c r="A7" s="55"/>
      <x:c r="B7" s="55"/>
      <x:c r="C7" s="55"/>
      <x:c r="D7" s="55"/>
      <x:c r="E7" s="55"/>
      <x:c r="F7" s="55"/>
      <x:c r="G7" s="55"/>
      <x:c r="H7" s="55"/>
    </x:row>
    <x:row r="8">
      <x:c r="A8" s="58" t="str">
        <x:v>COME USARLO ORA</x:v>
      </x:c>
      <x:c r="B8" s="58"/>
      <x:c r="C8" s="58"/>
      <x:c r="D8" s="58"/>
      <x:c r="E8" s="58"/>
      <x:c r="F8" s="58"/>
      <x:c r="G8" s="58"/>
      <x:c r="H8" s="58"/>
    </x:row>
    <x:row r="9" ht="40" customHeight="1">
      <x:c r="A9" s="181" t="str">
        <x:v>1</x:v>
      </x:c>
      <x:c r="B9" s="182" t="str">
        <x:v>Apri CONFIG</x:v>
      </x:c>
      <x:c r="C9" s="61" t="str">
        <x:v>La data verde si sposta automaticamente al prossimo martedì utile se non hai ancora iniziato.</x:v>
      </x:c>
      <x:c r="D9" s="61" t="str"/>
      <x:c r="E9" s="61" t="str"/>
      <x:c r="F9" s="61" t="str"/>
      <x:c r="G9" s="61" t="str"/>
      <x:c r="H9" s="61" t="str"/>
    </x:row>
    <x:row r="10" ht="40" customHeight="1">
      <x:c r="A10" s="183" t="str">
        <x:v>2</x:v>
      </x:c>
      <x:c r="B10" s="184" t="str">
        <x:v>Apri SESSIONI</x:v>
      </x:c>
      <x:c r="C10" s="63" t="str">
        <x:v>La colonna gialla indica il giorno in cui devi sederti e programmare i contenuti.</x:v>
      </x:c>
      <x:c r="D10" s="63" t="str"/>
      <x:c r="E10" s="63" t="str"/>
      <x:c r="F10" s="63" t="str"/>
      <x:c r="G10" s="63" t="str"/>
      <x:c r="H10" s="63" t="str"/>
    </x:row>
    <x:row r="11" ht="40" customHeight="1">
      <x:c r="A11" s="183" t="str">
        <x:v>3</x:v>
      </x:c>
      <x:c r="B11" s="184" t="str">
        <x:v>Apri CALENDARIO</x:v>
      </x:c>
      <x:c r="C11" s="63" t="str">
        <x:v>Ogni riga mostra data di lavoro, data di pubblicazione, file, caption, link e procedura.</x:v>
      </x:c>
      <x:c r="D11" s="63" t="str"/>
      <x:c r="E11" s="63" t="str"/>
      <x:c r="F11" s="63" t="str"/>
      <x:c r="G11" s="63" t="str"/>
      <x:c r="H11" s="63" t="str"/>
    </x:row>
    <x:row r="12" ht="40" customHeight="1">
      <x:c r="A12" s="183" t="str">
        <x:v>4</x:v>
      </x:c>
      <x:c r="B12" s="184" t="str">
        <x:v>Aggiorna lo Stato</x:v>
      </x:c>
      <x:c r="C12" s="63" t="str">
        <x:v>Usa Da fare, Programmato, Pubblicato oppure Errore. Le righe cambiano colore.</x:v>
      </x:c>
      <x:c r="D12" s="63" t="str"/>
      <x:c r="E12" s="63" t="str"/>
      <x:c r="F12" s="63" t="str"/>
      <x:c r="G12" s="63" t="str"/>
      <x:c r="H12" s="63" t="str"/>
    </x:row>
    <x:row r="13" ht="40" customHeight="1">
      <x:c r="A13" s="183" t="str">
        <x:v>5</x:v>
      </x:c>
      <x:c r="B13" s="184" t="str">
        <x:v>Blocca la partenza</x:v>
      </x:c>
      <x:c r="C13" s="63" t="str">
        <x:v>Quando programmi il primo Reel, copia la data verde di CONFIG nella cella Data bloccata.</x:v>
      </x:c>
      <x:c r="D13" s="63" t="str"/>
      <x:c r="E13" s="63" t="str"/>
      <x:c r="F13" s="63" t="str"/>
      <x:c r="G13" s="63" t="str"/>
      <x:c r="H13" s="63" t="str"/>
    </x:row>
    <x:row r="14">
      <x:c r="A14" s="55"/>
      <x:c r="B14" s="55"/>
      <x:c r="C14" s="55"/>
      <x:c r="D14" s="55"/>
      <x:c r="E14" s="55"/>
      <x:c r="F14" s="55"/>
      <x:c r="G14" s="55"/>
      <x:c r="H14" s="55"/>
    </x:row>
    <x:row r="15">
      <x:c r="A15" s="58" t="str">
        <x:v>CADENZA SETTIMANALE</x:v>
      </x:c>
      <x:c r="B15" s="58"/>
      <x:c r="C15" s="58"/>
      <x:c r="D15" s="58"/>
      <x:c r="E15" s="58"/>
      <x:c r="F15" s="58"/>
      <x:c r="G15" s="58"/>
      <x:c r="H15" s="58"/>
    </x:row>
    <x:row r="16">
      <x:c r="A16" s="185" t="str">
        <x:v>Giorno</x:v>
      </x:c>
      <x:c r="B16" s="185" t="str">
        <x:v>Ora</x:v>
      </x:c>
      <x:c r="C16" s="185" t="str">
        <x:v>Contenuto</x:v>
      </x:c>
      <x:c r="D16" s="185" t="str">
        <x:v>Piattaforme</x:v>
      </x:c>
      <x:c r="E16" s="55"/>
      <x:c r="F16" s="186" t="str">
        <x:v>SIGNIFICATO DELLE DATE</x:v>
      </x:c>
      <x:c r="G16" s="186"/>
      <x:c r="H16" s="186"/>
    </x:row>
    <x:row r="17" ht="42" customHeight="1">
      <x:c r="A17" s="187" t="str">
        <x:v>Martedì</x:v>
      </x:c>
      <x:c r="B17" s="188" t="n">
        <x:v>0.8333333333333334</x:v>
      </x:c>
      <x:c r="C17" s="187" t="str">
        <x:v>Reel / video – campagna A</x:v>
      </x:c>
      <x:c r="D17" s="187" t="str">
        <x:v>Instagram, Facebook, TikTok</x:v>
      </x:c>
      <x:c r="E17" s="55"/>
      <x:c r="F17" s="65" t="str">
        <x:v>Giallo</x:v>
      </x:c>
      <x:c r="G17" s="65" t="str">
        <x:v>Data di lavoro</x:v>
      </x:c>
      <x:c r="H17" s="189" t="str">
        <x:v>Il giorno in cui devi caricare o programmare il contenuto.</x:v>
      </x:c>
    </x:row>
    <x:row r="18" ht="42" customHeight="1">
      <x:c r="A18" s="187" t="str">
        <x:v>Mercoledì</x:v>
      </x:c>
      <x:c r="B18" s="188" t="n">
        <x:v>0.5</x:v>
      </x:c>
      <x:c r="C18" s="187" t="str">
        <x:v>Storia – campagna A</x:v>
      </x:c>
      <x:c r="D18" s="187" t="str">
        <x:v>Instagram, Facebook</x:v>
      </x:c>
      <x:c r="E18" s="55"/>
      <x:c r="F18" s="68" t="str">
        <x:v>Azzurro</x:v>
      </x:c>
      <x:c r="G18" s="68" t="str">
        <x:v>Pubblicazione</x:v>
      </x:c>
      <x:c r="H18" s="190" t="str">
        <x:v>Il giorno in cui il contenuto deve uscire.</x:v>
      </x:c>
    </x:row>
    <x:row r="19" ht="42" customHeight="1">
      <x:c r="A19" s="187" t="str">
        <x:v>Giovedì</x:v>
      </x:c>
      <x:c r="B19" s="188" t="n">
        <x:v>0.8333333333333334</x:v>
      </x:c>
      <x:c r="C19" s="187" t="str">
        <x:v>Carosello – campagna A</x:v>
      </x:c>
      <x:c r="D19" s="187" t="str">
        <x:v>Instagram, Facebook</x:v>
      </x:c>
      <x:c r="E19" s="55"/>
      <x:c r="F19" s="68" t="str">
        <x:v>Manuale</x:v>
      </x:c>
      <x:c r="G19" s="68" t="str">
        <x:v>Storia Instagram</x:v>
      </x:c>
      <x:c r="H19" s="190" t="str">
        <x:v>La prepari cinque minuti prima usando immagine e link indicati.</x:v>
      </x:c>
    </x:row>
    <x:row r="20" ht="42" customHeight="1">
      <x:c r="A20" s="187" t="str">
        <x:v>Venerdì</x:v>
      </x:c>
      <x:c r="B20" s="188" t="n">
        <x:v>0.8333333333333334</x:v>
      </x:c>
      <x:c r="C20" s="187" t="str">
        <x:v>Reel / video – campagna B</x:v>
      </x:c>
      <x:c r="D20" s="187" t="str">
        <x:v>Instagram, Facebook, TikTok</x:v>
      </x:c>
      <x:c r="E20" s="55"/>
      <x:c r="F20" s="68" t="str">
        <x:v>Auto</x:v>
      </x:c>
      <x:c r="G20" s="68" t="str">
        <x:v>Prima di iniziare</x:v>
      </x:c>
      <x:c r="H20" s="190" t="str">
        <x:v>Se sfori, la partenza passa al prossimo martedì utile.</x:v>
      </x:c>
    </x:row>
    <x:row r="21" ht="42" customHeight="1">
      <x:c r="A21" s="187" t="str">
        <x:v>Sabato</x:v>
      </x:c>
      <x:c r="B21" s="188" t="n">
        <x:v>0.5</x:v>
      </x:c>
      <x:c r="C21" s="187" t="str">
        <x:v>Storia – campagna B</x:v>
      </x:c>
      <x:c r="D21" s="187" t="str">
        <x:v>Instagram, Facebook</x:v>
      </x:c>
      <x:c r="E21" s="55"/>
      <x:c r="F21" s="68" t="str">
        <x:v>Blocco</x:v>
      </x:c>
      <x:c r="G21" s="68" t="str">
        <x:v>Dopo l'inizio</x:v>
      </x:c>
      <x:c r="H21" s="190" t="str">
        <x:v>Inserisci la data in CONFIG per non spostare più il piano.</x:v>
      </x:c>
    </x:row>
    <x:row r="22" ht="42" customHeight="1">
      <x:c r="A22" s="187" t="str">
        <x:v>Domenica</x:v>
      </x:c>
      <x:c r="B22" s="188" t="n">
        <x:v>0.4583333333333333</x:v>
      </x:c>
      <x:c r="C22" s="187" t="str">
        <x:v>Carosello – campagna B</x:v>
      </x:c>
      <x:c r="D22" s="187" t="str">
        <x:v>Instagram, Facebook</x:v>
      </x:c>
      <x:c r="E22" s="55"/>
      <x:c r="F22" s="68" t="str">
        <x:v>Scaduto</x:v>
      </x:c>
      <x:c r="G22" s="68" t="str">
        <x:v>Controllo</x:v>
      </x:c>
      <x:c r="H22" s="190" t="str">
        <x:v>Le attività passate e non pubblicate vengono segnalate.</x:v>
      </x:c>
    </x:row>
    <x:row r="23">
      <x:c r="A23" s="55"/>
      <x:c r="B23" s="55"/>
      <x:c r="C23" s="55"/>
      <x:c r="D23" s="55"/>
      <x:c r="E23" s="55"/>
      <x:c r="F23" s="55"/>
      <x:c r="G23" s="55"/>
      <x:c r="H23" s="55"/>
    </x:row>
    <x:row r="24">
      <x:c r="A24" s="58" t="str">
        <x:v>CONTROLLO FINALE PRIMA DI PROGRAMMARE</x:v>
      </x:c>
      <x:c r="B24" s="58"/>
      <x:c r="C24" s="58"/>
      <x:c r="D24" s="58"/>
      <x:c r="E24" s="58"/>
      <x:c r="F24" s="58"/>
      <x:c r="G24" s="58"/>
      <x:c r="H24" s="58"/>
    </x:row>
    <x:row r="25" ht="31" customHeight="1">
      <x:c r="A25" s="65" t="str">
        <x:v>Account</x:v>
      </x:c>
      <x:c r="B25" s="189" t="str">
        <x:v>Controlla sempre il profilo o la Pagina selezionata.</x:v>
      </x:c>
      <x:c r="C25" s="189" t="str"/>
      <x:c r="D25" s="189" t="str"/>
      <x:c r="E25" s="189" t="str"/>
      <x:c r="F25" s="189" t="str"/>
      <x:c r="G25" s="189" t="str"/>
      <x:c r="H25" s="189" t="str"/>
    </x:row>
    <x:row r="26" ht="31" customHeight="1">
      <x:c r="A26" s="68" t="str">
        <x:v>Video</x:v>
      </x:c>
      <x:c r="B26" s="190" t="str">
        <x:v>Verticale 9:16, audio attivo, nessun watermark.</x:v>
      </x:c>
      <x:c r="C26" s="190" t="str"/>
      <x:c r="D26" s="190" t="str"/>
      <x:c r="E26" s="190" t="str"/>
      <x:c r="F26" s="190" t="str"/>
      <x:c r="G26" s="190" t="str"/>
      <x:c r="H26" s="190" t="str"/>
    </x:row>
    <x:row r="27" ht="31" customHeight="1">
      <x:c r="A27" s="68" t="str">
        <x:v>Copertina</x:v>
      </x:c>
      <x:c r="B27" s="190" t="str">
        <x:v>Verifica il ritaglio nel profilo e nel feed.</x:v>
      </x:c>
      <x:c r="C27" s="190" t="str"/>
      <x:c r="D27" s="190" t="str"/>
      <x:c r="E27" s="190" t="str"/>
      <x:c r="F27" s="190" t="str"/>
      <x:c r="G27" s="190" t="str"/>
      <x:c r="H27" s="190" t="str"/>
    </x:row>
    <x:row r="28" ht="31" customHeight="1">
      <x:c r="A28" s="68" t="str">
        <x:v>Carosello</x:v>
      </x:c>
      <x:c r="B28" s="190" t="str">
        <x:v>Carica le slide nell'ordine 01 → 02 → 03.</x:v>
      </x:c>
      <x:c r="C28" s="190" t="str"/>
      <x:c r="D28" s="190" t="str"/>
      <x:c r="E28" s="190" t="str"/>
      <x:c r="F28" s="190" t="str"/>
      <x:c r="G28" s="190" t="str"/>
      <x:c r="H28" s="190" t="str"/>
    </x:row>
    <x:row r="29" ht="31" customHeight="1">
      <x:c r="A29" s="68" t="str">
        <x:v>Conferma</x:v>
      </x:c>
      <x:c r="B29" s="190" t="str">
        <x:v>Il contenuto deve comparire tra quelli programmati.</x:v>
      </x:c>
      <x:c r="C29" s="190" t="str"/>
      <x:c r="D29" s="190" t="str"/>
      <x:c r="E29" s="190" t="str"/>
      <x:c r="F29" s="190" t="str"/>
      <x:c r="G29" s="190" t="str"/>
      <x:c r="H29" s="190" t="str"/>
    </x:row>
    <x:row r="30">
      <x:c r="A30" s="55"/>
      <x:c r="B30" s="55"/>
      <x:c r="C30" s="55"/>
      <x:c r="D30" s="55"/>
      <x:c r="E30" s="55"/>
      <x:c r="F30" s="55"/>
      <x:c r="G30" s="55"/>
      <x:c r="H30" s="55"/>
    </x:row>
    <x:row r="31">
      <x:c r="A31" s="191" t="str">
        <x:v>Apri per prima cosa il foglio CONFIG. Se la data verde ti va bene, passa a SESSIONI: lì trovi esattamente quando puoi programmare i contenuti.</x:v>
      </x:c>
      <x:c r="B31" s="191"/>
      <x:c r="C31" s="191"/>
      <x:c r="D31" s="191"/>
      <x:c r="E31" s="191"/>
      <x:c r="F31" s="191"/>
      <x:c r="G31" s="191"/>
      <x:c r="H31" s="191"/>
    </x:row>
    <x:row r="32">
      <x:c r="A32" s="191"/>
      <x:c r="B32" s="191"/>
      <x:c r="C32" s="191"/>
      <x:c r="D32" s="191"/>
      <x:c r="E32" s="191"/>
      <x:c r="F32" s="191"/>
      <x:c r="G32" s="191"/>
      <x:c r="H32" s="191"/>
    </x:row>
  </x:sheetData>
  <x:mergeCells>
    <x:mergeCell ref="A1:H2"/>
    <x:mergeCell ref="A3:H3"/>
    <x:mergeCell ref="A5:B5"/>
    <x:mergeCell ref="A6:B6"/>
    <x:mergeCell ref="C5:D5"/>
    <x:mergeCell ref="C6:D6"/>
    <x:mergeCell ref="E5:F5"/>
    <x:mergeCell ref="E6:F6"/>
    <x:mergeCell ref="G5:H5"/>
    <x:mergeCell ref="G6:H6"/>
    <x:mergeCell ref="A8:H8"/>
    <x:mergeCell ref="C9:H9"/>
    <x:mergeCell ref="C10:H10"/>
    <x:mergeCell ref="C11:H11"/>
    <x:mergeCell ref="C12:H12"/>
    <x:mergeCell ref="C13:H13"/>
    <x:mergeCell ref="A15:H15"/>
    <x:mergeCell ref="F16:H16"/>
    <x:mergeCell ref="A24:H24"/>
    <x:mergeCell ref="B25:H25"/>
    <x:mergeCell ref="B26:H26"/>
    <x:mergeCell ref="B27:H27"/>
    <x:mergeCell ref="B28:H28"/>
    <x:mergeCell ref="B29:H29"/>
    <x:mergeCell ref="A31:H3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4" hidden="0" customWidth="1"/>
    <x:col min="4" max="4" width="7" hidden="0" customWidth="1"/>
    <x:col min="5" max="5" width="23" hidden="0" customWidth="1"/>
    <x:col min="6" max="6" width="23" hidden="0" customWidth="1"/>
    <x:col min="7" max="7" width="23" hidden="0" customWidth="1"/>
    <x:col min="8" max="8" width="23" hidden="0" customWidth="1"/>
  </x:cols>
  <x:sheetData>
    <x:row r="1" ht="28" customHeight="1">
      <x:c r="A1" s="53" t="str">
        <x:v>CONFIGURAZIONE AUTOMATICA DEL CALENDARIO</x:v>
      </x:c>
      <x:c r="B1" s="53"/>
      <x:c r="C1" s="53"/>
      <x:c r="D1" s="53"/>
      <x:c r="E1" s="53"/>
      <x:c r="F1" s="53"/>
      <x:c r="G1" s="53"/>
      <x:c r="H1" s="53"/>
    </x:row>
    <x:row r="2" ht="28" customHeight="1">
      <x:c r="A2" s="53"/>
      <x:c r="B2" s="53"/>
      <x:c r="C2" s="53"/>
      <x:c r="D2" s="53"/>
      <x:c r="E2" s="53"/>
      <x:c r="F2" s="53"/>
      <x:c r="G2" s="53"/>
      <x:c r="H2" s="53"/>
    </x:row>
    <x:row r="3">
      <x:c r="A3" s="54" t="str">
        <x:v>Modifica soltanto le celle gialle. Tutte le date degli altri fogli si aggiorneranno automaticamente.</x:v>
      </x:c>
      <x:c r="B3" s="54"/>
      <x:c r="C3" s="54"/>
      <x:c r="D3" s="54"/>
      <x:c r="E3" s="54"/>
      <x:c r="F3" s="54"/>
      <x:c r="G3" s="54"/>
      <x:c r="H3" s="54"/>
    </x:row>
    <x:row r="4">
      <x:c r="A4" s="55"/>
      <x:c r="B4" s="55"/>
      <x:c r="C4" s="55"/>
      <x:c r="D4" s="55"/>
      <x:c r="E4" s="55"/>
      <x:c r="F4" s="55"/>
      <x:c r="G4" s="55"/>
      <x:c r="H4" s="55"/>
    </x:row>
    <x:row r="5" ht="40" customHeight="1">
      <x:c r="A5" s="56" t="str">
        <x:v>Data minima desiderata</x:v>
      </x:c>
      <x:c r="B5" s="57" t="n">
        <x:v>46238</x:v>
      </x:c>
      <x:c r="C5" s="55"/>
      <x:c r="D5" s="58" t="str">
        <x:v>COME FUNZIONA</x:v>
      </x:c>
      <x:c r="E5" s="58"/>
      <x:c r="F5" s="58"/>
      <x:c r="G5" s="58"/>
      <x:c r="H5" s="58"/>
    </x:row>
    <x:row r="6" ht="40" customHeight="1">
      <x:c r="A6" s="56" t="str">
        <x:v>Giorni minimi per prepararti</x:v>
      </x:c>
      <x:c r="B6" s="59" t="n">
        <x:v>2</x:v>
      </x:c>
      <x:c r="C6" s="55"/>
      <x:c r="D6" s="60" t="str">
        <x:v>1</x:v>
      </x:c>
      <x:c r="E6" s="61" t="str">
        <x:v>Se non hai ancora iniziato, lascia vuota “Data bloccata”: il primo Reel passerà automaticamente al prossimo martedì utile.</x:v>
      </x:c>
      <x:c r="F6" s="61"/>
      <x:c r="G6" s="61"/>
      <x:c r="H6" s="61"/>
    </x:row>
    <x:row r="7" ht="40" customHeight="1">
      <x:c r="A7" s="56" t="str">
        <x:v>Data bloccata (facoltativa)</x:v>
      </x:c>
      <x:c r="B7" s="62"/>
      <x:c r="C7" s="55"/>
      <x:c r="D7" s="60" t="str">
        <x:v>2</x:v>
      </x:c>
      <x:c r="E7" s="63" t="str">
        <x:v>Puoi cambiare “Data minima desiderata” quando vuoi. Usa preferibilmente un martedì.</x:v>
      </x:c>
      <x:c r="F7" s="63"/>
      <x:c r="G7" s="63"/>
      <x:c r="H7" s="63"/>
    </x:row>
    <x:row r="8" ht="40" customHeight="1">
      <x:c r="A8" s="56" t="str">
        <x:v>Data effettiva del primo Reel</x:v>
      </x:c>
      <x:c r="B8" s="64" t="n">
        <x:f>IF(B7&lt;&gt;"",B7,MAX(B5,TODAY()+B6+MOD(2-WEEKDAY(TODAY()+B6,2),7)))</x:f>
        <x:v>46238</x:v>
      </x:c>
      <x:c r="C8" s="55"/>
      <x:c r="D8" s="60" t="str">
        <x:v>3</x:v>
      </x:c>
      <x:c r="E8" s="63" t="str">
        <x:v>“Giorni minimi” indica quanto anticipo vuoi avere per preparare i primi contenuti.</x:v>
      </x:c>
      <x:c r="F8" s="63"/>
      <x:c r="G8" s="63"/>
      <x:c r="H8" s="63"/>
    </x:row>
    <x:row r="9" ht="40" customHeight="1">
      <x:c r="A9" s="55"/>
      <x:c r="B9" s="55"/>
      <x:c r="C9" s="55"/>
      <x:c r="D9" s="60" t="str">
        <x:v>4</x:v>
      </x:c>
      <x:c r="E9" s="63" t="str">
        <x:v>Quando inizi davvero, copia la data verde nella cella “Data bloccata” per impedire altri spostamenti.</x:v>
      </x:c>
      <x:c r="F9" s="63"/>
      <x:c r="G9" s="63"/>
      <x:c r="H9" s="63"/>
    </x:row>
    <x:row r="10" ht="40" customHeight="1">
      <x:c r="A10" s="55"/>
      <x:c r="B10" s="55"/>
      <x:c r="C10" s="55"/>
      <x:c r="D10" s="60" t="str">
        <x:v>5</x:v>
      </x:c>
      <x:c r="E10" s="63" t="str">
        <x:v>Nel CALENDARIO trovi sia la data in cui lavorare sia la data e l’ora di pubblicazione.</x:v>
      </x:c>
      <x:c r="F10" s="63"/>
      <x:c r="G10" s="63"/>
      <x:c r="H10" s="63"/>
    </x:row>
    <x:row r="11">
      <x:c r="A11" s="55"/>
      <x:c r="B11" s="55"/>
      <x:c r="C11" s="55"/>
      <x:c r="D11" s="55"/>
      <x:c r="E11" s="55"/>
      <x:c r="F11" s="55"/>
      <x:c r="G11" s="55"/>
      <x:c r="H11" s="55"/>
    </x:row>
    <x:row r="12">
      <x:c r="A12" s="58" t="str">
        <x:v>PARAMETRI DEL PIANO</x:v>
      </x:c>
      <x:c r="B12" s="58"/>
      <x:c r="C12" s="55"/>
      <x:c r="D12" s="58" t="str">
        <x:v>ESEMPIO QUANDO SEI IN RITARDO</x:v>
      </x:c>
      <x:c r="E12" s="58"/>
      <x:c r="F12" s="58"/>
      <x:c r="G12" s="58"/>
      <x:c r="H12" s="58"/>
    </x:row>
    <x:row r="13" ht="38" customHeight="1">
      <x:c r="A13" s="65" t="str">
        <x:v>Campagne per sessione Meta/Instagram</x:v>
      </x:c>
      <x:c r="B13" s="66" t="n">
        <x:v>8</x:v>
      </x:c>
      <x:c r="C13" s="55"/>
      <x:c r="D13" s="67" t="str">
        <x:v>Se apri il file dopo la data prevista e non hai ancora cominciato, non devi rifare nulla: lasciando vuota la data bloccata, il foglio sceglie automaticamente il prossimo martedì che ti lascia almeno i giorni di preparazione indicati. Appena programmi il primo Reel, inserisci quella data nella cella gialla “Data bloccata”.</x:v>
      </x:c>
      <x:c r="E13" s="67"/>
      <x:c r="F13" s="67"/>
      <x:c r="G13" s="67"/>
      <x:c r="H13" s="67"/>
    </x:row>
    <x:row r="14" ht="38" customHeight="1">
      <x:c r="A14" s="68" t="str">
        <x:v>Durata blocco di programmazione (giorni)</x:v>
      </x:c>
      <x:c r="B14" s="69" t="n">
        <x:v>28</x:v>
      </x:c>
      <x:c r="C14" s="55"/>
      <x:c r="D14" s="67"/>
      <x:c r="E14" s="67"/>
      <x:c r="F14" s="67"/>
      <x:c r="G14" s="67"/>
      <x:c r="H14" s="67"/>
    </x:row>
    <x:row r="15" ht="38" customHeight="1">
      <x:c r="A15" s="68" t="str">
        <x:v>Anticipo sessione Meta/Instagram (giorni)</x:v>
      </x:c>
      <x:c r="B15" s="69" t="n">
        <x:v>2</x:v>
      </x:c>
      <x:c r="C15" s="55"/>
      <x:c r="D15" s="67"/>
      <x:c r="E15" s="67"/>
      <x:c r="F15" s="67"/>
      <x:c r="G15" s="67"/>
      <x:c r="H15" s="67"/>
    </x:row>
    <x:row r="16" ht="38" customHeight="1">
      <x:c r="A16" s="68" t="str">
        <x:v>Anticipo sessione TikTok (giorni)</x:v>
      </x:c>
      <x:c r="B16" s="69" t="n">
        <x:v>2</x:v>
      </x:c>
      <x:c r="C16" s="55"/>
      <x:c r="D16" s="67"/>
      <x:c r="E16" s="67"/>
      <x:c r="F16" s="67"/>
      <x:c r="G16" s="67"/>
      <x:c r="H16" s="67"/>
    </x:row>
    <x:row r="17">
      <x:c r="A17" s="55"/>
      <x:c r="B17" s="55"/>
      <x:c r="C17" s="55"/>
      <x:c r="D17" s="55"/>
      <x:c r="E17" s="55"/>
      <x:c r="F17" s="55"/>
      <x:c r="G17" s="55"/>
      <x:c r="H17" s="55"/>
    </x:row>
    <x:row r="18">
      <x:c r="A18" s="55"/>
      <x:c r="B18" s="55"/>
      <x:c r="C18" s="55"/>
      <x:c r="D18" s="55"/>
      <x:c r="E18" s="55"/>
      <x:c r="F18" s="55"/>
      <x:c r="G18" s="55"/>
      <x:c r="H18" s="55"/>
    </x:row>
  </x:sheetData>
  <x:mergeCells>
    <x:mergeCell ref="A1:H2"/>
    <x:mergeCell ref="A3:H3"/>
    <x:mergeCell ref="D5:H5"/>
    <x:mergeCell ref="E6:H6"/>
    <x:mergeCell ref="E7:H7"/>
    <x:mergeCell ref="E8:H8"/>
    <x:mergeCell ref="E9:H9"/>
    <x:mergeCell ref="E10:H10"/>
    <x:mergeCell ref="A12:B12"/>
    <x:mergeCell ref="D12:H12"/>
    <x:mergeCell ref="D13:H16"/>
  </x:mergeCells>
  <x:dataValidations count="1">
    <x:dataValidation type="whole" operator="between" sqref="B6">
      <x:formula1>0</x:formula1>
      <x:formula2>30</x:formula2>
    </x:dataValidation>
  </x:dataValidations>
  <x:pageMargins left="0.7" right="0.7" top="0.75" bottom="0.75" header="0.3" footer="0.3"/>
  <x:legacyDrawing xmlns:r="http://schemas.openxmlformats.org/officeDocument/2006/relationships" r:id="R2d1810ad310c4144"/>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16" hidden="0" customWidth="1"/>
    <x:col min="3" max="3" width="10" hidden="0" customWidth="1"/>
    <x:col min="4" max="4" width="27" hidden="0" customWidth="1"/>
    <x:col min="5" max="5" width="14" hidden="0" customWidth="1"/>
    <x:col min="6" max="6" width="14" hidden="0" customWidth="1"/>
    <x:col min="7" max="7" width="48" hidden="0" customWidth="1"/>
    <x:col min="8" max="8" width="14" hidden="0" customWidth="1"/>
    <x:col min="9" max="9" width="52" hidden="0" customWidth="1"/>
    <x:col min="10" max="10" width="15" hidden="0" customWidth="1"/>
    <x:col min="11" max="11" width="38" hidden="0" customWidth="1"/>
  </x:cols>
  <x:sheetData>
    <x:row r="1">
      <x:c r="A1" s="79" t="str">
        <x:v>Sessione</x:v>
      </x:c>
      <x:c r="B1" s="79" t="str">
        <x:v>Data in cui devi farlo</x:v>
      </x:c>
      <x:c r="C1" s="79" t="str">
        <x:v>Ora lavoro</x:v>
      </x:c>
      <x:c r="D1" s="79" t="str">
        <x:v>Piattaforma / strumento</x:v>
      </x:c>
      <x:c r="E1" s="79" t="str">
        <x:v>Contenuti dal</x:v>
      </x:c>
      <x:c r="F1" s="79" t="str">
        <x:v>Contenuti fino al</x:v>
      </x:c>
      <x:c r="G1" s="79" t="str">
        <x:v>Cosa programmare</x:v>
      </x:c>
      <x:c r="H1" s="79" t="str">
        <x:v>Numero azioni</x:v>
      </x:c>
      <x:c r="I1" s="79" t="str">
        <x:v>Procedura</x:v>
      </x:c>
      <x:c r="J1" s="79" t="str">
        <x:v>Stato</x:v>
      </x:c>
      <x:c r="K1" s="79" t="str">
        <x:v>Note</x:v>
      </x:c>
    </x:row>
    <x:row r="2" ht="62" customHeight="1">
      <x:c r="A2" s="80" t="str">
        <x:v>S02</x:v>
      </x:c>
      <x:c r="B2" s="98" t="n">
        <x:f>'CAMPAGNE'!F2</x:f>
        <x:v>46236</x:v>
      </x:c>
      <x:c r="C2" s="101" t="n">
        <x:v>0.75</x:v>
      </x:c>
      <x:c r="D2" s="80" t="str">
        <x:v>Facebook / Meta Business Suite</x:v>
      </x:c>
      <x:c r="E2" s="137" t="n">
        <x:f>'CAMPAGNE'!H2</x:f>
        <x:v>46238</x:v>
      </x:c>
      <x:c r="F2" s="137" t="n">
        <x:f>'CAMPAGNE'!J9</x:f>
        <x:v>46264</x:v>
      </x:c>
      <x:c r="G2" s="80" t="str">
        <x:v>Programma Reel, Storie e caroselli della Pagina.</x:v>
      </x:c>
      <x:c r="H2" s="80" t="n">
        <x:v>24</x:v>
      </x:c>
      <x:c r="I2" s="80" t="str">
        <x:v>Meta Business Suite → Crea → seleziona formato → Programma per dopo.</x:v>
      </x:c>
      <x:c r="J2" s="80" t="str">
        <x:v>Da fare</x:v>
      </x:c>
      <x:c r="K2" s="80" t="str">
        <x:v>Campagne 1–8.</x:v>
      </x:c>
    </x:row>
    <x:row r="3" ht="62" customHeight="1">
      <x:c r="A3" s="81" t="str">
        <x:v>S01</x:v>
      </x:c>
      <x:c r="B3" s="99" t="n">
        <x:f>'CAMPAGNE'!F2</x:f>
        <x:v>46236</x:v>
      </x:c>
      <x:c r="C3" s="102" t="n">
        <x:v>0.75</x:v>
      </x:c>
      <x:c r="D3" s="81" t="str">
        <x:v>Instagram</x:v>
      </x:c>
      <x:c r="E3" s="138" t="n">
        <x:f>'CAMPAGNE'!H2</x:f>
        <x:v>46238</x:v>
      </x:c>
      <x:c r="F3" s="138" t="n">
        <x:f>'CAMPAGNE'!J9</x:f>
        <x:v>46264</x:v>
      </x:c>
      <x:c r="G3" s="81" t="str">
        <x:v>Programma Reel e caroselli. Le Storie Instagram restano manuali.</x:v>
      </x:c>
      <x:c r="H3" s="81" t="n">
        <x:v>16</x:v>
      </x:c>
      <x:c r="I3" s="81" t="str">
        <x:v>App Instagram → crea contenuto → Impostazioni avanzate → Programma.</x:v>
      </x:c>
      <x:c r="J3" s="81" t="str">
        <x:v>Da fare</x:v>
      </x:c>
      <x:c r="K3" s="81" t="str">
        <x:v>Campagne 1–8.</x:v>
      </x:c>
    </x:row>
    <x:row r="4" ht="62" customHeight="1">
      <x:c r="A4" s="81" t="str">
        <x:v>S11</x:v>
      </x:c>
      <x:c r="B4" s="99" t="n">
        <x:f>'CAMPAGNE'!G2</x:f>
        <x:v>46236</x:v>
      </x:c>
      <x:c r="C4" s="102" t="n">
        <x:v>0.75</x:v>
      </x:c>
      <x:c r="D4" s="81" t="str">
        <x:v>TikTok Studio</x:v>
      </x:c>
      <x:c r="E4" s="138" t="n">
        <x:f>'CAMPAGNE'!H2</x:f>
        <x:v>46238</x:v>
      </x:c>
      <x:c r="F4" s="138" t="n">
        <x:f>'CAMPAGNE'!H3</x:f>
        <x:v>46241</x:v>
      </x:c>
      <x:c r="G4" s="81" t="str">
        <x:v>Programma Notti Fugaci · Notti Fugaci e Notti Fugaci · L'ora del crepuscolo.</x:v>
      </x:c>
      <x:c r="H4" s="81" t="n">
        <x:v>2</x:v>
      </x:c>
      <x:c r="I4" s="81" t="str">
        <x:v>TikTok Studio → Carica → caption → copertina → Programma.</x:v>
      </x:c>
      <x:c r="J4" s="81" t="str">
        <x:v>Da fare</x:v>
      </x:c>
      <x:c r="K4" s="81" t="str">
        <x:v>Esegui questa sessione ogni domenica o nella data indicata.</x:v>
      </x:c>
    </x:row>
    <x:row r="5" ht="62" customHeight="1">
      <x:c r="A5" s="81" t="str">
        <x:v>S12</x:v>
      </x:c>
      <x:c r="B5" s="99" t="n">
        <x:f>'CAMPAGNE'!G4</x:f>
        <x:v>46243</x:v>
      </x:c>
      <x:c r="C5" s="102" t="n">
        <x:v>0.75</x:v>
      </x:c>
      <x:c r="D5" s="81" t="str">
        <x:v>TikTok Studio</x:v>
      </x:c>
      <x:c r="E5" s="138" t="n">
        <x:f>'CAMPAGNE'!H4</x:f>
        <x:v>46245</x:v>
      </x:c>
      <x:c r="F5" s="138" t="n">
        <x:f>'CAMPAGNE'!H5</x:f>
        <x:v>46248</x:v>
      </x:c>
      <x:c r="G5" s="81" t="str">
        <x:v>Programma Notti Fugaci · Amélie e Notti Fugaci · Malena.</x:v>
      </x:c>
      <x:c r="H5" s="81" t="n">
        <x:v>2</x:v>
      </x:c>
      <x:c r="I5" s="81" t="str">
        <x:v>TikTok Studio → Carica → caption → copertina → Programma.</x:v>
      </x:c>
      <x:c r="J5" s="81" t="str">
        <x:v>Da fare</x:v>
      </x:c>
      <x:c r="K5" s="81" t="str">
        <x:v>Esegui questa sessione ogni domenica o nella data indicata.</x:v>
      </x:c>
    </x:row>
    <x:row r="6" ht="62" customHeight="1">
      <x:c r="A6" s="81" t="str">
        <x:v>S13</x:v>
      </x:c>
      <x:c r="B6" s="99" t="n">
        <x:f>'CAMPAGNE'!G6</x:f>
        <x:v>46250</x:v>
      </x:c>
      <x:c r="C6" s="102" t="n">
        <x:v>0.75</x:v>
      </x:c>
      <x:c r="D6" s="81" t="str">
        <x:v>TikTok Studio</x:v>
      </x:c>
      <x:c r="E6" s="138" t="n">
        <x:f>'CAMPAGNE'!H6</x:f>
        <x:v>46252</x:v>
      </x:c>
      <x:c r="F6" s="138" t="n">
        <x:f>'CAMPAGNE'!H7</x:f>
        <x:v>46255</x:v>
      </x:c>
      <x:c r="G6" s="81" t="str">
        <x:v>Programma Notti Fugaci · L'Irlandese e Notti Fugaci · Tu vuò fa' l'American.</x:v>
      </x:c>
      <x:c r="H6" s="81" t="n">
        <x:v>2</x:v>
      </x:c>
      <x:c r="I6" s="81" t="str">
        <x:v>TikTok Studio → Carica → caption → copertina → Programma.</x:v>
      </x:c>
      <x:c r="J6" s="81" t="str">
        <x:v>Da fare</x:v>
      </x:c>
      <x:c r="K6" s="81" t="str">
        <x:v>Esegui questa sessione ogni domenica o nella data indicata.</x:v>
      </x:c>
    </x:row>
    <x:row r="7" ht="62" customHeight="1">
      <x:c r="A7" s="81" t="str">
        <x:v>S14</x:v>
      </x:c>
      <x:c r="B7" s="99" t="n">
        <x:f>'CAMPAGNE'!G8</x:f>
        <x:v>46257</x:v>
      </x:c>
      <x:c r="C7" s="102" t="n">
        <x:v>0.75</x:v>
      </x:c>
      <x:c r="D7" s="81" t="str">
        <x:v>TikTok Studio</x:v>
      </x:c>
      <x:c r="E7" s="138" t="n">
        <x:f>'CAMPAGNE'!H8</x:f>
        <x:v>46259</x:v>
      </x:c>
      <x:c r="F7" s="138" t="n">
        <x:f>'CAMPAGNE'!H9</x:f>
        <x:v>46262</x:v>
      </x:c>
      <x:c r="G7" s="81" t="str">
        <x:v>Programma Notti Fugaci · Helena e Notti Fugaci · Virginia.</x:v>
      </x:c>
      <x:c r="H7" s="81" t="n">
        <x:v>2</x:v>
      </x:c>
      <x:c r="I7" s="81" t="str">
        <x:v>TikTok Studio → Carica → caption → copertina → Programma.</x:v>
      </x:c>
      <x:c r="J7" s="81" t="str">
        <x:v>Da fare</x:v>
      </x:c>
      <x:c r="K7" s="81" t="str">
        <x:v>Esegui questa sessione ogni domenica o nella data indicata.</x:v>
      </x:c>
    </x:row>
    <x:row r="8" ht="62" customHeight="1">
      <x:c r="A8" s="81" t="str">
        <x:v>S04</x:v>
      </x:c>
      <x:c r="B8" s="99" t="n">
        <x:f>'CAMPAGNE'!F10</x:f>
        <x:v>46264</x:v>
      </x:c>
      <x:c r="C8" s="102" t="n">
        <x:v>0.75</x:v>
      </x:c>
      <x:c r="D8" s="81" t="str">
        <x:v>Facebook / Meta Business Suite</x:v>
      </x:c>
      <x:c r="E8" s="138" t="n">
        <x:f>'CAMPAGNE'!H10</x:f>
        <x:v>46266</x:v>
      </x:c>
      <x:c r="F8" s="138" t="n">
        <x:f>'CAMPAGNE'!J17</x:f>
        <x:v>46292</x:v>
      </x:c>
      <x:c r="G8" s="81" t="str">
        <x:v>Programma Reel, Storie e caroselli della Pagina.</x:v>
      </x:c>
      <x:c r="H8" s="81" t="n">
        <x:v>24</x:v>
      </x:c>
      <x:c r="I8" s="81" t="str">
        <x:v>Meta Business Suite → Crea → seleziona formato → Programma per dopo.</x:v>
      </x:c>
      <x:c r="J8" s="81" t="str">
        <x:v>Da fare</x:v>
      </x:c>
      <x:c r="K8" s="81" t="str">
        <x:v>Campagne 9–16.</x:v>
      </x:c>
    </x:row>
    <x:row r="9" ht="62" customHeight="1">
      <x:c r="A9" s="81" t="str">
        <x:v>S03</x:v>
      </x:c>
      <x:c r="B9" s="99" t="n">
        <x:f>'CAMPAGNE'!F10</x:f>
        <x:v>46264</x:v>
      </x:c>
      <x:c r="C9" s="102" t="n">
        <x:v>0.75</x:v>
      </x:c>
      <x:c r="D9" s="81" t="str">
        <x:v>Instagram</x:v>
      </x:c>
      <x:c r="E9" s="138" t="n">
        <x:f>'CAMPAGNE'!H10</x:f>
        <x:v>46266</x:v>
      </x:c>
      <x:c r="F9" s="138" t="n">
        <x:f>'CAMPAGNE'!J17</x:f>
        <x:v>46292</x:v>
      </x:c>
      <x:c r="G9" s="81" t="str">
        <x:v>Programma Reel e caroselli. Le Storie Instagram restano manuali.</x:v>
      </x:c>
      <x:c r="H9" s="81" t="n">
        <x:v>16</x:v>
      </x:c>
      <x:c r="I9" s="81" t="str">
        <x:v>App Instagram → crea contenuto → Impostazioni avanzate → Programma.</x:v>
      </x:c>
      <x:c r="J9" s="81" t="str">
        <x:v>Da fare</x:v>
      </x:c>
      <x:c r="K9" s="81" t="str">
        <x:v>Campagne 9–16.</x:v>
      </x:c>
    </x:row>
    <x:row r="10" ht="62" customHeight="1">
      <x:c r="A10" s="81" t="str">
        <x:v>S15</x:v>
      </x:c>
      <x:c r="B10" s="99" t="n">
        <x:f>'CAMPAGNE'!G10</x:f>
        <x:v>46264</x:v>
      </x:c>
      <x:c r="C10" s="102" t="n">
        <x:v>0.75</x:v>
      </x:c>
      <x:c r="D10" s="81" t="str">
        <x:v>TikTok Studio</x:v>
      </x:c>
      <x:c r="E10" s="138" t="n">
        <x:f>'CAMPAGNE'!H10</x:f>
        <x:v>46266</x:v>
      </x:c>
      <x:c r="F10" s="138" t="n">
        <x:f>'CAMPAGNE'!H11</x:f>
        <x:v>46269</x:v>
      </x:c>
      <x:c r="G10" s="81" t="str">
        <x:v>Programma Notti Fugaci · Hope e Notti Fugaci · Loida.</x:v>
      </x:c>
      <x:c r="H10" s="81" t="n">
        <x:v>2</x:v>
      </x:c>
      <x:c r="I10" s="81" t="str">
        <x:v>TikTok Studio → Carica → caption → copertina → Programma.</x:v>
      </x:c>
      <x:c r="J10" s="81" t="str">
        <x:v>Da fare</x:v>
      </x:c>
      <x:c r="K10" s="81" t="str">
        <x:v>Esegui questa sessione ogni domenica o nella data indicata.</x:v>
      </x:c>
    </x:row>
    <x:row r="11" ht="62" customHeight="1">
      <x:c r="A11" s="81" t="str">
        <x:v>S16</x:v>
      </x:c>
      <x:c r="B11" s="99" t="n">
        <x:f>'CAMPAGNE'!G12</x:f>
        <x:v>46271</x:v>
      </x:c>
      <x:c r="C11" s="102" t="n">
        <x:v>0.75</x:v>
      </x:c>
      <x:c r="D11" s="81" t="str">
        <x:v>TikTok Studio</x:v>
      </x:c>
      <x:c r="E11" s="138" t="n">
        <x:f>'CAMPAGNE'!H12</x:f>
        <x:v>46273</x:v>
      </x:c>
      <x:c r="F11" s="138" t="n">
        <x:f>'CAMPAGNE'!H13</x:f>
        <x:v>46276</x:v>
      </x:c>
      <x:c r="G11" s="81" t="str">
        <x:v>Programma Notti Fugaci · Florencia e Intrecci Sbagliati · Intrecci Sbagliati.</x:v>
      </x:c>
      <x:c r="H11" s="81" t="n">
        <x:v>2</x:v>
      </x:c>
      <x:c r="I11" s="81" t="str">
        <x:v>TikTok Studio → Carica → caption → copertina → Programma.</x:v>
      </x:c>
      <x:c r="J11" s="81" t="str">
        <x:v>Da fare</x:v>
      </x:c>
      <x:c r="K11" s="81" t="str">
        <x:v>Esegui questa sessione ogni domenica o nella data indicata.</x:v>
      </x:c>
    </x:row>
    <x:row r="12" ht="62" customHeight="1">
      <x:c r="A12" s="81" t="str">
        <x:v>S17</x:v>
      </x:c>
      <x:c r="B12" s="99" t="n">
        <x:f>'CAMPAGNE'!G14</x:f>
        <x:v>46278</x:v>
      </x:c>
      <x:c r="C12" s="102" t="n">
        <x:v>0.75</x:v>
      </x:c>
      <x:c r="D12" s="81" t="str">
        <x:v>TikTok Studio</x:v>
      </x:c>
      <x:c r="E12" s="138" t="n">
        <x:f>'CAMPAGNE'!H14</x:f>
        <x:v>46280</x:v>
      </x:c>
      <x:c r="F12" s="138" t="n">
        <x:f>'CAMPAGNE'!H15</x:f>
        <x:v>46283</x:v>
      </x:c>
      <x:c r="G12" s="81" t="str">
        <x:v>Programma Intrecci Sbagliati · Héloïse e Intrecci Sbagliati · Greta.</x:v>
      </x:c>
      <x:c r="H12" s="81" t="n">
        <x:v>2</x:v>
      </x:c>
      <x:c r="I12" s="81" t="str">
        <x:v>TikTok Studio → Carica → caption → copertina → Programma.</x:v>
      </x:c>
      <x:c r="J12" s="81" t="str">
        <x:v>Da fare</x:v>
      </x:c>
      <x:c r="K12" s="81" t="str">
        <x:v>Esegui questa sessione ogni domenica o nella data indicata.</x:v>
      </x:c>
    </x:row>
    <x:row r="13" ht="62" customHeight="1">
      <x:c r="A13" s="81" t="str">
        <x:v>S18</x:v>
      </x:c>
      <x:c r="B13" s="99" t="n">
        <x:f>'CAMPAGNE'!G16</x:f>
        <x:v>46285</x:v>
      </x:c>
      <x:c r="C13" s="102" t="n">
        <x:v>0.75</x:v>
      </x:c>
      <x:c r="D13" s="81" t="str">
        <x:v>TikTok Studio</x:v>
      </x:c>
      <x:c r="E13" s="138" t="n">
        <x:f>'CAMPAGNE'!H16</x:f>
        <x:v>46287</x:v>
      </x:c>
      <x:c r="F13" s="138" t="n">
        <x:f>'CAMPAGNE'!H17</x:f>
        <x:v>46290</x:v>
      </x:c>
      <x:c r="G13" s="81" t="str">
        <x:v>Programma Intrecci Sbagliati · Rossella e Intrecci Sbagliati · Cansu.</x:v>
      </x:c>
      <x:c r="H13" s="81" t="n">
        <x:v>2</x:v>
      </x:c>
      <x:c r="I13" s="81" t="str">
        <x:v>TikTok Studio → Carica → caption → copertina → Programma.</x:v>
      </x:c>
      <x:c r="J13" s="81" t="str">
        <x:v>Da fare</x:v>
      </x:c>
      <x:c r="K13" s="81" t="str">
        <x:v>Esegui questa sessione ogni domenica o nella data indicata.</x:v>
      </x:c>
    </x:row>
    <x:row r="14" ht="62" customHeight="1">
      <x:c r="A14" s="81" t="str">
        <x:v>S06</x:v>
      </x:c>
      <x:c r="B14" s="99" t="n">
        <x:f>'CAMPAGNE'!F18</x:f>
        <x:v>46292</x:v>
      </x:c>
      <x:c r="C14" s="102" t="n">
        <x:v>0.75</x:v>
      </x:c>
      <x:c r="D14" s="81" t="str">
        <x:v>Facebook / Meta Business Suite</x:v>
      </x:c>
      <x:c r="E14" s="138" t="n">
        <x:f>'CAMPAGNE'!H18</x:f>
        <x:v>46294</x:v>
      </x:c>
      <x:c r="F14" s="138" t="n">
        <x:f>'CAMPAGNE'!J25</x:f>
        <x:v>46320</x:v>
      </x:c>
      <x:c r="G14" s="81" t="str">
        <x:v>Programma Reel, Storie e caroselli della Pagina.</x:v>
      </x:c>
      <x:c r="H14" s="81" t="n">
        <x:v>24</x:v>
      </x:c>
      <x:c r="I14" s="81" t="str">
        <x:v>Meta Business Suite → Crea → seleziona formato → Programma per dopo.</x:v>
      </x:c>
      <x:c r="J14" s="81" t="str">
        <x:v>Da fare</x:v>
      </x:c>
      <x:c r="K14" s="81" t="str">
        <x:v>Campagne 17–24.</x:v>
      </x:c>
    </x:row>
    <x:row r="15" ht="62" customHeight="1">
      <x:c r="A15" s="81" t="str">
        <x:v>S05</x:v>
      </x:c>
      <x:c r="B15" s="99" t="n">
        <x:f>'CAMPAGNE'!F18</x:f>
        <x:v>46292</x:v>
      </x:c>
      <x:c r="C15" s="102" t="n">
        <x:v>0.75</x:v>
      </x:c>
      <x:c r="D15" s="81" t="str">
        <x:v>Instagram</x:v>
      </x:c>
      <x:c r="E15" s="138" t="n">
        <x:f>'CAMPAGNE'!H18</x:f>
        <x:v>46294</x:v>
      </x:c>
      <x:c r="F15" s="138" t="n">
        <x:f>'CAMPAGNE'!J25</x:f>
        <x:v>46320</x:v>
      </x:c>
      <x:c r="G15" s="81" t="str">
        <x:v>Programma Reel e caroselli. Le Storie Instagram restano manuali.</x:v>
      </x:c>
      <x:c r="H15" s="81" t="n">
        <x:v>16</x:v>
      </x:c>
      <x:c r="I15" s="81" t="str">
        <x:v>App Instagram → crea contenuto → Impostazioni avanzate → Programma.</x:v>
      </x:c>
      <x:c r="J15" s="81" t="str">
        <x:v>Da fare</x:v>
      </x:c>
      <x:c r="K15" s="81" t="str">
        <x:v>Campagne 17–24.</x:v>
      </x:c>
    </x:row>
    <x:row r="16" ht="62" customHeight="1">
      <x:c r="A16" s="81" t="str">
        <x:v>S19</x:v>
      </x:c>
      <x:c r="B16" s="99" t="n">
        <x:f>'CAMPAGNE'!G18</x:f>
        <x:v>46292</x:v>
      </x:c>
      <x:c r="C16" s="102" t="n">
        <x:v>0.75</x:v>
      </x:c>
      <x:c r="D16" s="81" t="str">
        <x:v>TikTok Studio</x:v>
      </x:c>
      <x:c r="E16" s="138" t="n">
        <x:f>'CAMPAGNE'!H18</x:f>
        <x:v>46294</x:v>
      </x:c>
      <x:c r="F16" s="138" t="n">
        <x:f>'CAMPAGNE'!H19</x:f>
        <x:v>46297</x:v>
      </x:c>
      <x:c r="G16" s="81" t="str">
        <x:v>Programma Intrecci Sbagliati · Ella e Intrecci Sbagliati · Ancora Lei.</x:v>
      </x:c>
      <x:c r="H16" s="81" t="n">
        <x:v>2</x:v>
      </x:c>
      <x:c r="I16" s="81" t="str">
        <x:v>TikTok Studio → Carica → caption → copertina → Programma.</x:v>
      </x:c>
      <x:c r="J16" s="81" t="str">
        <x:v>Da fare</x:v>
      </x:c>
      <x:c r="K16" s="81" t="str">
        <x:v>Esegui questa sessione ogni domenica o nella data indicata.</x:v>
      </x:c>
    </x:row>
    <x:row r="17" ht="62" customHeight="1">
      <x:c r="A17" s="81" t="str">
        <x:v>S20</x:v>
      </x:c>
      <x:c r="B17" s="99" t="n">
        <x:f>'CAMPAGNE'!G20</x:f>
        <x:v>46299</x:v>
      </x:c>
      <x:c r="C17" s="102" t="n">
        <x:v>0.75</x:v>
      </x:c>
      <x:c r="D17" s="81" t="str">
        <x:v>TikTok Studio</x:v>
      </x:c>
      <x:c r="E17" s="138" t="n">
        <x:f>'CAMPAGNE'!H20</x:f>
        <x:v>46301</x:v>
      </x:c>
      <x:c r="F17" s="138" t="n">
        <x:f>'CAMPAGNE'!H21</x:f>
        <x:v>46304</x:v>
      </x:c>
      <x:c r="G17" s="81" t="str">
        <x:v>Programma Intrecci Sbagliati · Isabella e Intrecci Sbagliati · Promesse mantenute.</x:v>
      </x:c>
      <x:c r="H17" s="81" t="n">
        <x:v>2</x:v>
      </x:c>
      <x:c r="I17" s="81" t="str">
        <x:v>TikTok Studio → Carica → caption → copertina → Programma.</x:v>
      </x:c>
      <x:c r="J17" s="81" t="str">
        <x:v>Da fare</x:v>
      </x:c>
      <x:c r="K17" s="81" t="str">
        <x:v>Esegui questa sessione ogni domenica o nella data indicata.</x:v>
      </x:c>
    </x:row>
    <x:row r="18" ht="62" customHeight="1">
      <x:c r="A18" s="81" t="str">
        <x:v>S21</x:v>
      </x:c>
      <x:c r="B18" s="99" t="n">
        <x:f>'CAMPAGNE'!G22</x:f>
        <x:v>46306</x:v>
      </x:c>
      <x:c r="C18" s="102" t="n">
        <x:v>0.75</x:v>
      </x:c>
      <x:c r="D18" s="81" t="str">
        <x:v>TikTok Studio</x:v>
      </x:c>
      <x:c r="E18" s="138" t="n">
        <x:f>'CAMPAGNE'!H22</x:f>
        <x:v>46308</x:v>
      </x:c>
      <x:c r="F18" s="138" t="n">
        <x:f>'CAMPAGNE'!H23</x:f>
        <x:v>46311</x:v>
      </x:c>
      <x:c r="G18" s="81" t="str">
        <x:v>Programma Intrecci Sbagliati · Virginia e Intrecci Sbagliati · Legame.</x:v>
      </x:c>
      <x:c r="H18" s="81" t="n">
        <x:v>2</x:v>
      </x:c>
      <x:c r="I18" s="81" t="str">
        <x:v>TikTok Studio → Carica → caption → copertina → Programma.</x:v>
      </x:c>
      <x:c r="J18" s="81" t="str">
        <x:v>Da fare</x:v>
      </x:c>
      <x:c r="K18" s="81" t="str">
        <x:v>Esegui questa sessione ogni domenica o nella data indicata.</x:v>
      </x:c>
    </x:row>
    <x:row r="19" ht="62" customHeight="1">
      <x:c r="A19" s="81" t="str">
        <x:v>S22</x:v>
      </x:c>
      <x:c r="B19" s="99" t="n">
        <x:f>'CAMPAGNE'!G24</x:f>
        <x:v>46313</x:v>
      </x:c>
      <x:c r="C19" s="102" t="n">
        <x:v>0.75</x:v>
      </x:c>
      <x:c r="D19" s="81" t="str">
        <x:v>TikTok Studio</x:v>
      </x:c>
      <x:c r="E19" s="138" t="n">
        <x:f>'CAMPAGNE'!H24</x:f>
        <x:v>46315</x:v>
      </x:c>
      <x:c r="F19" s="138" t="n">
        <x:f>'CAMPAGNE'!H25</x:f>
        <x:v>46318</x:v>
      </x:c>
      <x:c r="G19" s="81" t="str">
        <x:v>Programma Legami · Legămi e Legami · Il Collare.</x:v>
      </x:c>
      <x:c r="H19" s="81" t="n">
        <x:v>2</x:v>
      </x:c>
      <x:c r="I19" s="81" t="str">
        <x:v>TikTok Studio → Carica → caption → copertina → Programma.</x:v>
      </x:c>
      <x:c r="J19" s="81" t="str">
        <x:v>Da fare</x:v>
      </x:c>
      <x:c r="K19" s="81" t="str">
        <x:v>Esegui questa sessione ogni domenica o nella data indicata.</x:v>
      </x:c>
    </x:row>
    <x:row r="20" ht="62" customHeight="1">
      <x:c r="A20" s="81" t="str">
        <x:v>S08</x:v>
      </x:c>
      <x:c r="B20" s="99" t="n">
        <x:f>'CAMPAGNE'!F26</x:f>
        <x:v>46320</x:v>
      </x:c>
      <x:c r="C20" s="102" t="n">
        <x:v>0.75</x:v>
      </x:c>
      <x:c r="D20" s="81" t="str">
        <x:v>Facebook / Meta Business Suite</x:v>
      </x:c>
      <x:c r="E20" s="138" t="n">
        <x:f>'CAMPAGNE'!H26</x:f>
        <x:v>46322</x:v>
      </x:c>
      <x:c r="F20" s="138" t="n">
        <x:f>'CAMPAGNE'!J33</x:f>
        <x:v>46348</x:v>
      </x:c>
      <x:c r="G20" s="81" t="str">
        <x:v>Programma Reel, Storie e caroselli della Pagina.</x:v>
      </x:c>
      <x:c r="H20" s="81" t="n">
        <x:v>24</x:v>
      </x:c>
      <x:c r="I20" s="81" t="str">
        <x:v>Meta Business Suite → Crea → seleziona formato → Programma per dopo.</x:v>
      </x:c>
      <x:c r="J20" s="81" t="str">
        <x:v>Da fare</x:v>
      </x:c>
      <x:c r="K20" s="81" t="str">
        <x:v>Campagne 25–32.</x:v>
      </x:c>
    </x:row>
    <x:row r="21" ht="62" customHeight="1">
      <x:c r="A21" s="81" t="str">
        <x:v>S07</x:v>
      </x:c>
      <x:c r="B21" s="99" t="n">
        <x:f>'CAMPAGNE'!F26</x:f>
        <x:v>46320</x:v>
      </x:c>
      <x:c r="C21" s="102" t="n">
        <x:v>0.75</x:v>
      </x:c>
      <x:c r="D21" s="81" t="str">
        <x:v>Instagram</x:v>
      </x:c>
      <x:c r="E21" s="138" t="n">
        <x:f>'CAMPAGNE'!H26</x:f>
        <x:v>46322</x:v>
      </x:c>
      <x:c r="F21" s="138" t="n">
        <x:f>'CAMPAGNE'!J33</x:f>
        <x:v>46348</x:v>
      </x:c>
      <x:c r="G21" s="81" t="str">
        <x:v>Programma Reel e caroselli. Le Storie Instagram restano manuali.</x:v>
      </x:c>
      <x:c r="H21" s="81" t="n">
        <x:v>16</x:v>
      </x:c>
      <x:c r="I21" s="81" t="str">
        <x:v>App Instagram → crea contenuto → Impostazioni avanzate → Programma.</x:v>
      </x:c>
      <x:c r="J21" s="81" t="str">
        <x:v>Da fare</x:v>
      </x:c>
      <x:c r="K21" s="81" t="str">
        <x:v>Campagne 25–32.</x:v>
      </x:c>
    </x:row>
    <x:row r="22" ht="62" customHeight="1">
      <x:c r="A22" s="81" t="str">
        <x:v>S23</x:v>
      </x:c>
      <x:c r="B22" s="99" t="n">
        <x:f>'CAMPAGNE'!G26</x:f>
        <x:v>46320</x:v>
      </x:c>
      <x:c r="C22" s="102" t="n">
        <x:v>0.75</x:v>
      </x:c>
      <x:c r="D22" s="81" t="str">
        <x:v>TikTok Studio</x:v>
      </x:c>
      <x:c r="E22" s="138" t="n">
        <x:f>'CAMPAGNE'!H26</x:f>
        <x:v>46322</x:v>
      </x:c>
      <x:c r="F22" s="138" t="n">
        <x:f>'CAMPAGNE'!H27</x:f>
        <x:v>46325</x:v>
      </x:c>
      <x:c r="G22" s="81" t="str">
        <x:v>Programma Legami · La Benda e Legami · Il Guinzaglio.</x:v>
      </x:c>
      <x:c r="H22" s="81" t="n">
        <x:v>2</x:v>
      </x:c>
      <x:c r="I22" s="81" t="str">
        <x:v>TikTok Studio → Carica → caption → copertina → Programma.</x:v>
      </x:c>
      <x:c r="J22" s="81" t="str">
        <x:v>Da fare</x:v>
      </x:c>
      <x:c r="K22" s="81" t="str">
        <x:v>Esegui questa sessione ogni domenica o nella data indicata.</x:v>
      </x:c>
    </x:row>
    <x:row r="23" ht="62" customHeight="1">
      <x:c r="A23" s="81" t="str">
        <x:v>S24</x:v>
      </x:c>
      <x:c r="B23" s="99" t="n">
        <x:f>'CAMPAGNE'!G28</x:f>
        <x:v>46327</x:v>
      </x:c>
      <x:c r="C23" s="102" t="n">
        <x:v>0.75</x:v>
      </x:c>
      <x:c r="D23" s="81" t="str">
        <x:v>TikTok Studio</x:v>
      </x:c>
      <x:c r="E23" s="138" t="n">
        <x:f>'CAMPAGNE'!H28</x:f>
        <x:v>46329</x:v>
      </x:c>
      <x:c r="F23" s="138" t="n">
        <x:f>'CAMPAGNE'!H29</x:f>
        <x:v>46332</x:v>
      </x:c>
      <x:c r="G23" s="81" t="str">
        <x:v>Programma Legami · Il Nodo e Legami · Il Morso.</x:v>
      </x:c>
      <x:c r="H23" s="81" t="n">
        <x:v>2</x:v>
      </x:c>
      <x:c r="I23" s="81" t="str">
        <x:v>TikTok Studio → Carica → caption → copertina → Programma.</x:v>
      </x:c>
      <x:c r="J23" s="81" t="str">
        <x:v>Da fare</x:v>
      </x:c>
      <x:c r="K23" s="81" t="str">
        <x:v>Esegui questa sessione ogni domenica o nella data indicata.</x:v>
      </x:c>
    </x:row>
    <x:row r="24" ht="62" customHeight="1">
      <x:c r="A24" s="81" t="str">
        <x:v>S25</x:v>
      </x:c>
      <x:c r="B24" s="99" t="n">
        <x:f>'CAMPAGNE'!G30</x:f>
        <x:v>46334</x:v>
      </x:c>
      <x:c r="C24" s="102" t="n">
        <x:v>0.75</x:v>
      </x:c>
      <x:c r="D24" s="81" t="str">
        <x:v>TikTok Studio</x:v>
      </x:c>
      <x:c r="E24" s="138" t="n">
        <x:f>'CAMPAGNE'!H30</x:f>
        <x:v>46336</x:v>
      </x:c>
      <x:c r="F24" s="138" t="n">
        <x:f>'CAMPAGNE'!H31</x:f>
        <x:v>46339</x:v>
      </x:c>
      <x:c r="G24" s="81" t="str">
        <x:v>Programma Legami · Le redini e Legami · La catena.</x:v>
      </x:c>
      <x:c r="H24" s="81" t="n">
        <x:v>2</x:v>
      </x:c>
      <x:c r="I24" s="81" t="str">
        <x:v>TikTok Studio → Carica → caption → copertina → Programma.</x:v>
      </x:c>
      <x:c r="J24" s="81" t="str">
        <x:v>Da fare</x:v>
      </x:c>
      <x:c r="K24" s="81" t="str">
        <x:v>Esegui questa sessione ogni domenica o nella data indicata.</x:v>
      </x:c>
    </x:row>
    <x:row r="25" ht="62" customHeight="1">
      <x:c r="A25" s="81" t="str">
        <x:v>S26</x:v>
      </x:c>
      <x:c r="B25" s="99" t="n">
        <x:f>'CAMPAGNE'!G32</x:f>
        <x:v>46341</x:v>
      </x:c>
      <x:c r="C25" s="102" t="n">
        <x:v>0.75</x:v>
      </x:c>
      <x:c r="D25" s="81" t="str">
        <x:v>TikTok Studio</x:v>
      </x:c>
      <x:c r="E25" s="138" t="n">
        <x:f>'CAMPAGNE'!H32</x:f>
        <x:v>46343</x:v>
      </x:c>
      <x:c r="F25" s="138" t="n">
        <x:f>'CAMPAGNE'!H33</x:f>
        <x:v>46346</x:v>
      </x:c>
      <x:c r="G25" s="81" t="str">
        <x:v>Programma Legami · La chiave sbagliata e Legami · Safe Word.</x:v>
      </x:c>
      <x:c r="H25" s="81" t="n">
        <x:v>2</x:v>
      </x:c>
      <x:c r="I25" s="81" t="str">
        <x:v>TikTok Studio → Carica → caption → copertina → Programma.</x:v>
      </x:c>
      <x:c r="J25" s="81" t="str">
        <x:v>Da fare</x:v>
      </x:c>
      <x:c r="K25" s="81" t="str">
        <x:v>Esegui questa sessione ogni domenica o nella data indicata.</x:v>
      </x:c>
    </x:row>
    <x:row r="26" ht="62" customHeight="1">
      <x:c r="A26" s="81" t="str">
        <x:v>S10</x:v>
      </x:c>
      <x:c r="B26" s="99" t="n">
        <x:f>'CAMPAGNE'!F34</x:f>
        <x:v>46348</x:v>
      </x:c>
      <x:c r="C26" s="102" t="n">
        <x:v>0.75</x:v>
      </x:c>
      <x:c r="D26" s="81" t="str">
        <x:v>Facebook / Meta Business Suite</x:v>
      </x:c>
      <x:c r="E26" s="138" t="n">
        <x:f>'CAMPAGNE'!H34</x:f>
        <x:v>46350</x:v>
      </x:c>
      <x:c r="F26" s="138" t="n">
        <x:f>'CAMPAGNE'!J35</x:f>
        <x:v>46355</x:v>
      </x:c>
      <x:c r="G26" s="81" t="str">
        <x:v>Programma Reel, Storie e caroselli della Pagina.</x:v>
      </x:c>
      <x:c r="H26" s="81" t="n">
        <x:v>6</x:v>
      </x:c>
      <x:c r="I26" s="81" t="str">
        <x:v>Meta Business Suite → Crea → seleziona formato → Programma per dopo.</x:v>
      </x:c>
      <x:c r="J26" s="81" t="str">
        <x:v>Da fare</x:v>
      </x:c>
      <x:c r="K26" s="81" t="str">
        <x:v>Campagne 33–34.</x:v>
      </x:c>
    </x:row>
    <x:row r="27" ht="62" customHeight="1">
      <x:c r="A27" s="81" t="str">
        <x:v>S09</x:v>
      </x:c>
      <x:c r="B27" s="99" t="n">
        <x:f>'CAMPAGNE'!F34</x:f>
        <x:v>46348</x:v>
      </x:c>
      <x:c r="C27" s="102" t="n">
        <x:v>0.75</x:v>
      </x:c>
      <x:c r="D27" s="81" t="str">
        <x:v>Instagram</x:v>
      </x:c>
      <x:c r="E27" s="138" t="n">
        <x:f>'CAMPAGNE'!H34</x:f>
        <x:v>46350</x:v>
      </x:c>
      <x:c r="F27" s="138" t="n">
        <x:f>'CAMPAGNE'!J35</x:f>
        <x:v>46355</x:v>
      </x:c>
      <x:c r="G27" s="81" t="str">
        <x:v>Programma Reel e caroselli. Le Storie Instagram restano manuali.</x:v>
      </x:c>
      <x:c r="H27" s="81" t="n">
        <x:v>4</x:v>
      </x:c>
      <x:c r="I27" s="81" t="str">
        <x:v>App Instagram → crea contenuto → Impostazioni avanzate → Programma.</x:v>
      </x:c>
      <x:c r="J27" s="81" t="str">
        <x:v>Da fare</x:v>
      </x:c>
      <x:c r="K27" s="81" t="str">
        <x:v>Campagne 33–34.</x:v>
      </x:c>
    </x:row>
    <x:row r="28" ht="62" customHeight="1">
      <x:c r="A28" s="82" t="str">
        <x:v>S27</x:v>
      </x:c>
      <x:c r="B28" s="100" t="n">
        <x:f>'CAMPAGNE'!G34</x:f>
        <x:v>46348</x:v>
      </x:c>
      <x:c r="C28" s="103" t="n">
        <x:v>0.75</x:v>
      </x:c>
      <x:c r="D28" s="82" t="str">
        <x:v>TikTok Studio</x:v>
      </x:c>
      <x:c r="E28" s="139" t="n">
        <x:f>'CAMPAGNE'!H34</x:f>
        <x:v>46350</x:v>
      </x:c>
      <x:c r="F28" s="139" t="n">
        <x:f>'CAMPAGNE'!H35</x:f>
        <x:v>46353</x:v>
      </x:c>
      <x:c r="G28" s="82" t="str">
        <x:v>Programma Legami · La sospensione e Legami · Il legame che torna.</x:v>
      </x:c>
      <x:c r="H28" s="82" t="n">
        <x:v>2</x:v>
      </x:c>
      <x:c r="I28" s="82" t="str">
        <x:v>TikTok Studio → Carica → caption → copertina → Programma.</x:v>
      </x:c>
      <x:c r="J28" s="82" t="str">
        <x:v>Da fare</x:v>
      </x:c>
      <x:c r="K28" s="82" t="str">
        <x:v>Esegui questa sessione ogni domenica o nella data indicata.</x:v>
      </x:c>
    </x:row>
  </x:sheetData>
  <x:conditionalFormatting sqref="A2:K28">
    <x:cfRule type="expression" dxfId="7" priority="1">
      <x:formula>$J2="Completata"</x:formula>
    </x:cfRule>
    <x:cfRule type="expression" dxfId="8" priority="2">
      <x:formula>$J2="Parziale"</x:formula>
    </x:cfRule>
    <x:cfRule type="expression" dxfId="9" priority="3">
      <x:formula>$J2="Errore"</x:formula>
    </x:cfRule>
  </x:conditionalFormatting>
  <x:dataValidations count="1">
    <x:dataValidation type="list" sqref="J2:J28">
      <x:formula1>"Da fare,Completata,Parziale,Errore"</x:formula1>
    </x:dataValidation>
  </x:dataValidations>
  <x:pageMargins left="0.7" right="0.7" top="0.75" bottom="0.75" header="0.3" footer="0.3"/>
  <x:tableParts count="1">
    <x:tablePart xmlns:r="http://schemas.openxmlformats.org/officeDocument/2006/relationships" r:id="R0bb0bbb7ce7b436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9" hidden="0" customWidth="1"/>
    <x:col min="2" max="2" width="10" hidden="0" customWidth="1"/>
    <x:col min="3" max="3" width="16" hidden="0" customWidth="1"/>
    <x:col min="4" max="4" width="10" hidden="0" customWidth="1"/>
    <x:col min="5" max="5" width="16" hidden="0" customWidth="1"/>
    <x:col min="6" max="6" width="18" hidden="0" customWidth="1"/>
    <x:col min="7" max="7" width="11" hidden="0" customWidth="1"/>
    <x:col min="8" max="8" width="13" hidden="0" customWidth="1"/>
    <x:col min="9" max="9" width="12" hidden="0" customWidth="1"/>
    <x:col min="10" max="10" width="22" hidden="0" customWidth="1"/>
    <x:col min="11" max="11" width="11" hidden="0" customWidth="1"/>
    <x:col min="12" max="12" width="24" hidden="0" customWidth="1"/>
    <x:col min="13" max="13" width="42" hidden="0" customWidth="1"/>
    <x:col min="14" max="14" width="48" hidden="0" customWidth="1"/>
    <x:col min="15" max="15" width="42" hidden="0" customWidth="1"/>
    <x:col min="16" max="16" width="58" hidden="0" customWidth="1"/>
    <x:col min="17" max="17" width="42" hidden="0" customWidth="1"/>
    <x:col min="18" max="18" width="21" hidden="0" customWidth="1"/>
    <x:col min="19" max="19" width="24" hidden="0" customWidth="1"/>
    <x:col min="20" max="20" width="15" hidden="0" customWidth="1"/>
    <x:col min="21" max="21" width="44" hidden="0" customWidth="1"/>
    <x:col min="22" max="22" width="10" hidden="0" customWidth="1"/>
  </x:cols>
  <x:sheetData>
    <x:row r="1">
      <x:c r="A1" s="79" t="str">
        <x:v>Task</x:v>
      </x:c>
      <x:c r="B1" s="79" t="str">
        <x:v>Settimana</x:v>
      </x:c>
      <x:c r="C1" s="79" t="str">
        <x:v>Data in cui devi farlo</x:v>
      </x:c>
      <x:c r="D1" s="79" t="str">
        <x:v>Ora lavoro</x:v>
      </x:c>
      <x:c r="E1" s="79" t="str">
        <x:v>Data pubblicazione</x:v>
      </x:c>
      <x:c r="F1" s="79" t="str">
        <x:v>Giorno pubblicazione</x:v>
      </x:c>
      <x:c r="G1" s="79" t="str">
        <x:v>Ora pubblicazione</x:v>
      </x:c>
      <x:c r="H1" s="79" t="str">
        <x:v>Piattaforma</x:v>
      </x:c>
      <x:c r="I1" s="79" t="str">
        <x:v>Formato</x:v>
      </x:c>
      <x:c r="J1" s="79" t="str">
        <x:v>Libro</x:v>
      </x:c>
      <x:c r="K1" s="79" t="str">
        <x:v>Contenuto</x:v>
      </x:c>
      <x:c r="L1" s="79" t="str">
        <x:v>Titolo</x:v>
      </x:c>
      <x:c r="M1" s="79" t="str">
        <x:v>Cosa devi fare</x:v>
      </x:c>
      <x:c r="N1" s="79" t="str">
        <x:v>File principale</x:v>
      </x:c>
      <x:c r="O1" s="79" t="str">
        <x:v>Copertina / file aggiuntivo</x:v>
      </x:c>
      <x:c r="P1" s="79" t="str">
        <x:v>Caption / testo da copiare</x:v>
      </x:c>
      <x:c r="Q1" s="79" t="str">
        <x:v>Link</x:v>
      </x:c>
      <x:c r="R1" s="79" t="str">
        <x:v>Strumento</x:v>
      </x:c>
      <x:c r="S1" s="79" t="str">
        <x:v>Programmazione</x:v>
      </x:c>
      <x:c r="T1" s="79" t="str">
        <x:v>Stato</x:v>
      </x:c>
      <x:c r="U1" s="79" t="str">
        <x:v>Controlli e note</x:v>
      </x:c>
      <x:c r="V1" s="79" t="str">
        <x:v>Scaduto?</x:v>
      </x:c>
    </x:row>
    <x:row r="2" ht="78" customHeight="1">
      <x:c r="A2" s="113" t="str">
        <x:v>T001</x:v>
      </x:c>
      <x:c r="B2" s="113" t="n">
        <x:v>1</x:v>
      </x:c>
      <x:c r="C2" s="114" t="n">
        <x:f>'CAMPAGNE'!F2</x:f>
        <x:v>46236</x:v>
      </x:c>
      <x:c r="D2" s="115" t="n">
        <x:v>0.75</x:v>
      </x:c>
      <x:c r="E2" s="116" t="n">
        <x:f>'CAMPAGNE'!H2</x:f>
        <x:v>46238</x:v>
      </x:c>
      <x:c r="F2" s="113" t="str">
        <x:f>CHOOSE(WEEKDAY(E2,2),"Lunedì","Martedì","Mercoledì","Giovedì","Venerdì","Sabato","Domenica")</x:f>
        <x:v>Martedì</x:v>
      </x:c>
      <x:c r="G2" s="115" t="n">
        <x:v>0.8333333333333334</x:v>
      </x:c>
      <x:c r="H2" s="113" t="str">
        <x:v>Instagram</x:v>
      </x:c>
      <x:c r="I2" s="113" t="str">
        <x:v>Reel</x:v>
      </x:c>
      <x:c r="J2" s="80" t="str">
        <x:v>Notti Fugaci</x:v>
      </x:c>
      <x:c r="K2" s="113" t="str">
        <x:v>TRAILER</x:v>
      </x:c>
      <x:c r="L2" s="80" t="str">
        <x:v>Notti Fugaci</x:v>
      </x:c>
      <x:c r="M2" s="80" t="str">
        <x:v>Carica il video, imposta la copertina, incolla la caption e programma.</x:v>
      </x:c>
      <x:c r="N2" s="80" t="str">
        <x:v>Notti_Fugaci_Social_Pack/01_REELS/TRAILER_reel.mp4</x:v>
      </x:c>
      <x:c r="O2" s="80" t="str">
        <x:v>Notti_Fugaci_Social_Pack/02_REEL_COVERS/TRAILER_cover.jpg</x:v>
      </x:c>
      <x:c r="P2" s="80" t="str">
        <x:f>'TESTI'!E2</x:f>
        <x:v>Ci sono notti che finiscono all'alba. Altre continuano a vivere sotto la pelle.
Notti Fugaci apre la collana Diari di Pelle: dieci incontri attraversati senza cercare assoluzioni, tra desiderio, memoria, città e libertà.
Il libro è disponibile in versione cartacea e Kindle. Scoprilo dal link nel profilo.
#DiariDiPelle #NottiFugaci #NarrativaItaliana #LibriDaLeggere #RaccontiContemporanei</x:v>
      </x:c>
      <x:c r="Q2" s="80" t="str">
        <x:f>'TESTI'!J2</x:f>
        <x:v>https://diaridipelle.it/notti-fugaci.html</x:v>
      </x:c>
      <x:c r="R2" s="80" t="str">
        <x:v>App Instagram</x:v>
      </x:c>
      <x:c r="S2" s="113" t="str">
        <x:v>Programmabile</x:v>
      </x:c>
      <x:c r="T2" s="113" t="str">
        <x:v>Da fare</x:v>
      </x:c>
      <x:c r="U2" s="80" t="str">
        <x:v>Controlla audio, ritaglio 9:16 e anteprima copertina. Il link è nel profilo.</x:v>
      </x:c>
      <x:c r="V2" s="80" t="str">
        <x:f>IF(AND(E2&lt;TODAY(),T2&lt;&gt;"Pubblicato"),"SÌ","")</x:f>
      </x:c>
    </x:row>
    <x:row r="3" ht="78" customHeight="1">
      <x:c r="A3" s="117" t="str">
        <x:v>T002</x:v>
      </x:c>
      <x:c r="B3" s="117" t="n">
        <x:v>1</x:v>
      </x:c>
      <x:c r="C3" s="118" t="n">
        <x:f>'CAMPAGNE'!F2</x:f>
        <x:v>46236</x:v>
      </x:c>
      <x:c r="D3" s="119" t="n">
        <x:v>0.75</x:v>
      </x:c>
      <x:c r="E3" s="120" t="n">
        <x:f>'CAMPAGNE'!H2</x:f>
        <x:v>46238</x:v>
      </x:c>
      <x:c r="F3" s="117" t="str">
        <x:f>CHOOSE(WEEKDAY(E3,2),"Lunedì","Martedì","Mercoledì","Giovedì","Venerdì","Sabato","Domenica")</x:f>
        <x:v>Martedì</x:v>
      </x:c>
      <x:c r="G3" s="119" t="n">
        <x:v>0.8333333333333334</x:v>
      </x:c>
      <x:c r="H3" s="117" t="str">
        <x:v>Facebook</x:v>
      </x:c>
      <x:c r="I3" s="117" t="str">
        <x:v>Reel</x:v>
      </x:c>
      <x:c r="J3" s="81" t="str">
        <x:v>Notti Fugaci</x:v>
      </x:c>
      <x:c r="K3" s="117" t="str">
        <x:v>TRAILER</x:v>
      </x:c>
      <x:c r="L3" s="81" t="str">
        <x:v>Notti Fugaci</x:v>
      </x:c>
      <x:c r="M3" s="81" t="str">
        <x:v>Crea un Reel nella Pagina, carica video e copertina, incolla la caption e programma.</x:v>
      </x:c>
      <x:c r="N3" s="81" t="str">
        <x:v>Notti_Fugaci_Social_Pack/01_REELS/TRAILER_reel.mp4</x:v>
      </x:c>
      <x:c r="O3" s="81" t="str">
        <x:v>Notti_Fugaci_Social_Pack/02_REEL_COVERS/TRAILER_cover.jpg</x:v>
      </x:c>
      <x:c r="P3" s="81" t="str">
        <x:f>'TESTI'!F2</x:f>
        <x:v>Ci sono notti che finiscono all'alba. Altre continuano a vivere sotto la pelle.
Notti Fugaci apre la collana Diari di Pelle: dieci incontri attraversati senza cercare assoluzioni, tra desiderio, memoria, città e libertà.
Il libro è disponibile in versione cartacea e Kindle. Scoprilo dal link nel profilo.
🌐 https://diaridipelle.it/notti-fugaci.html
📕 Cartaceo: https://www.amazon.it/dp/B0GRWP3X7C
📱 Kindle: https://www.amazon.it/dp/B0GRWP6PMK
#DiariDiPelle #NottiFugaci #NarrativaItaliana #LibriDaLeggere #RaccontiContemporanei</x:v>
      </x:c>
      <x:c r="Q3" s="81" t="str">
        <x:f>'TESTI'!J2</x:f>
        <x:v>https://diaridipelle.it/notti-fugaci.html</x:v>
      </x:c>
      <x:c r="R3" s="81" t="str">
        <x:v>Meta Business Suite</x:v>
      </x:c>
      <x:c r="S3" s="117" t="str">
        <x:v>Programmabile</x:v>
      </x:c>
      <x:c r="T3" s="117" t="str">
        <x:v>Da fare</x:v>
      </x:c>
      <x:c r="U3" s="81" t="str">
        <x:v>Pubblica sulla Pagina Facebook. I collegamenti nella caption sono cliccabili.</x:v>
      </x:c>
      <x:c r="V3" s="81" t="str">
        <x:f>IF(AND(E3&lt;TODAY(),T3&lt;&gt;"Pubblicato"),"SÌ","")</x:f>
      </x:c>
    </x:row>
    <x:row r="4" ht="78" customHeight="1">
      <x:c r="A4" s="117" t="str">
        <x:v>T003</x:v>
      </x:c>
      <x:c r="B4" s="117" t="n">
        <x:v>1</x:v>
      </x:c>
      <x:c r="C4" s="118" t="n">
        <x:f>'CAMPAGNE'!G2</x:f>
        <x:v>46236</x:v>
      </x:c>
      <x:c r="D4" s="119" t="n">
        <x:v>0.75</x:v>
      </x:c>
      <x:c r="E4" s="120" t="n">
        <x:f>'CAMPAGNE'!H2</x:f>
        <x:v>46238</x:v>
      </x:c>
      <x:c r="F4" s="117" t="str">
        <x:f>CHOOSE(WEEKDAY(E4,2),"Lunedì","Martedì","Mercoledì","Giovedì","Venerdì","Sabato","Domenica")</x:f>
        <x:v>Martedì</x:v>
      </x:c>
      <x:c r="G4" s="119" t="n">
        <x:v>0.8333333333333334</x:v>
      </x:c>
      <x:c r="H4" s="117" t="str">
        <x:v>TikTok</x:v>
      </x:c>
      <x:c r="I4" s="117" t="str">
        <x:v>Video</x:v>
      </x:c>
      <x:c r="J4" s="81" t="str">
        <x:v>Notti Fugaci</x:v>
      </x:c>
      <x:c r="K4" s="117" t="str">
        <x:v>TRAILER</x:v>
      </x:c>
      <x:c r="L4" s="81" t="str">
        <x:v>Notti Fugaci</x:v>
      </x:c>
      <x:c r="M4" s="81" t="str">
        <x:v>Carica il video in TikTok Studio, scegli la copertina, incolla la caption breve e programma.</x:v>
      </x:c>
      <x:c r="N4" s="81" t="str">
        <x:v>Notti_Fugaci_Social_Pack/01_REELS/TRAILER_reel.mp4</x:v>
      </x:c>
      <x:c r="O4" s="81" t="str">
        <x:v>Notti_Fugaci_Social_Pack/02_REEL_COVERS/TRAILER_cover.jpg</x:v>
      </x:c>
      <x:c r="P4" s="81" t="str">
        <x:f>'TESTI'!G2</x:f>
        <x:v>Ci sono notti che finiscono all'alba. Altre continuano a vivere sotto la pelle.
«Notti Fugaci» da Notti Fugaci.
Scopri il libro dal link in bio.
#DiariDiPelle #NottiFugaci #BookTokItalia #LibriTikTok</x:v>
      </x:c>
      <x:c r="Q4" s="81" t="str">
        <x:f>'TESTI'!J2</x:f>
        <x:v>https://diaridipelle.it/notti-fugaci.html</x:v>
      </x:c>
      <x:c r="R4" s="81" t="str">
        <x:v>TikTok Studio</x:v>
      </x:c>
      <x:c r="S4" s="117" t="str">
        <x:v>Programmabile entro 10 giorni</x:v>
      </x:c>
      <x:c r="T4" s="117" t="str">
        <x:v>Da fare</x:v>
      </x:c>
      <x:c r="U4" s="81" t="str">
        <x:v>Non aggiungere watermark. Controlla anteprima verticale e audio.</x:v>
      </x:c>
      <x:c r="V4" s="81" t="str">
        <x:f>IF(AND(E4&lt;TODAY(),T4&lt;&gt;"Pubblicato"),"SÌ","")</x:f>
      </x:c>
    </x:row>
    <x:row r="5" ht="78" customHeight="1">
      <x:c r="A5" s="117" t="str">
        <x:v>T004</x:v>
      </x:c>
      <x:c r="B5" s="117" t="n">
        <x:v>1</x:v>
      </x:c>
      <x:c r="C5" s="118" t="n">
        <x:f>'CAMPAGNE'!I2</x:f>
        <x:v>46239</x:v>
      </x:c>
      <x:c r="D5" s="119" t="n">
        <x:v>0.4965277777777778</x:v>
      </x:c>
      <x:c r="E5" s="120" t="n">
        <x:f>'CAMPAGNE'!I2</x:f>
        <x:v>46239</x:v>
      </x:c>
      <x:c r="F5" s="117" t="str">
        <x:f>CHOOSE(WEEKDAY(E5,2),"Lunedì","Martedì","Mercoledì","Giovedì","Venerdì","Sabato","Domenica")</x:f>
        <x:v>Mercoledì</x:v>
      </x:c>
      <x:c r="G5" s="119" t="n">
        <x:v>0.5</x:v>
      </x:c>
      <x:c r="H5" s="117" t="str">
        <x:v>Instagram</x:v>
      </x:c>
      <x:c r="I5" s="117" t="str">
        <x:v>Storia</x:v>
      </x:c>
      <x:c r="J5" s="81" t="str">
        <x:v>Notti Fugaci</x:v>
      </x:c>
      <x:c r="K5" s="117" t="str">
        <x:v>TRAILER</x:v>
      </x:c>
      <x:c r="L5" s="81" t="str">
        <x:v>Notti Fugaci</x:v>
      </x:c>
      <x:c r="M5" s="81" t="str">
        <x:v>Carica l'immagine, aggiungi l'adesivo Link e pubblica.</x:v>
      </x:c>
      <x:c r="N5" s="81" t="str">
        <x:v>Notti_Fugaci_Social_Pack/04_STORIES/TRAILER_story.jpg</x:v>
      </x:c>
      <x:c r="O5" s="81" t="str">
        <x:v>Notti_Fugaci_Social_Pack/05_CAPTIONS/TRAILER_story_link.txt</x:v>
      </x:c>
      <x:c r="P5" s="81" t="str">
        <x:f>'TESTI'!N2</x:f>
        <x:v>Tocca SCOPRI IL LIBRO e scegli cartaceo o Kindle.</x:v>
      </x:c>
      <x:c r="Q5" s="81" t="str">
        <x:f>'TESTI'!H2</x:f>
        <x:v>https://diaridipelle.it/notti-fugaci.html?utm_source=instagram&amp;utm_medium=story&amp;utm_campaign=notti_fugaci&amp;utm_content=trailer</x:v>
      </x:c>
      <x:c r="R5" s="81" t="str">
        <x:v>App Instagram</x:v>
      </x:c>
      <x:c r="S5" s="117" t="str">
        <x:v>Manuale</x:v>
      </x:c>
      <x:c r="T5" s="117" t="str">
        <x:v>Da fare</x:v>
      </x:c>
      <x:c r="U5" s="81" t="str">
        <x:v>La data lavoro è lo stesso giorno, 5 minuti prima. Testo adesivo: SCOPRI IL LIBRO.</x:v>
      </x:c>
      <x:c r="V5" s="81" t="str">
        <x:f>IF(AND(E5&lt;TODAY(),T5&lt;&gt;"Pubblicato"),"SÌ","")</x:f>
      </x:c>
    </x:row>
    <x:row r="6" ht="78" customHeight="1">
      <x:c r="A6" s="117" t="str">
        <x:v>T005</x:v>
      </x:c>
      <x:c r="B6" s="117" t="n">
        <x:v>1</x:v>
      </x:c>
      <x:c r="C6" s="118" t="n">
        <x:f>'CAMPAGNE'!F2</x:f>
        <x:v>46236</x:v>
      </x:c>
      <x:c r="D6" s="119" t="n">
        <x:v>0.75</x:v>
      </x:c>
      <x:c r="E6" s="120" t="n">
        <x:f>'CAMPAGNE'!I2</x:f>
        <x:v>46239</x:v>
      </x:c>
      <x:c r="F6" s="117" t="str">
        <x:f>CHOOSE(WEEKDAY(E6,2),"Lunedì","Martedì","Mercoledì","Giovedì","Venerdì","Sabato","Domenica")</x:f>
        <x:v>Mercoledì</x:v>
      </x:c>
      <x:c r="G6" s="119" t="n">
        <x:v>0.5</x:v>
      </x:c>
      <x:c r="H6" s="117" t="str">
        <x:v>Facebook</x:v>
      </x:c>
      <x:c r="I6" s="117" t="str">
        <x:v>Storia</x:v>
      </x:c>
      <x:c r="J6" s="81" t="str">
        <x:v>Notti Fugaci</x:v>
      </x:c>
      <x:c r="K6" s="117" t="str">
        <x:v>TRAILER</x:v>
      </x:c>
      <x:c r="L6" s="81" t="str">
        <x:v>Notti Fugaci</x:v>
      </x:c>
      <x:c r="M6" s="81" t="str">
        <x:v>Crea una Storia della Pagina, carica l'immagine, aggiungi il link e programma.</x:v>
      </x:c>
      <x:c r="N6" s="81" t="str">
        <x:v>Notti_Fugaci_Social_Pack/04_STORIES/TRAILER_story.jpg</x:v>
      </x:c>
      <x:c r="O6" s="81" t="str">
        <x:v>Notti_Fugaci_Social_Pack/05_CAPTIONS/TRAILER_story_link.txt</x:v>
      </x:c>
      <x:c r="P6" s="81" t="str">
        <x:f>'TESTI'!N2</x:f>
        <x:v>Tocca SCOPRI IL LIBRO e scegli cartaceo o Kindle.</x:v>
      </x:c>
      <x:c r="Q6" s="81" t="str">
        <x:f>'TESTI'!I2</x:f>
        <x:v>https://diaridipelle.it/notti-fugaci.html?utm_source=facebook&amp;utm_medium=story&amp;utm_campaign=notti_fugaci&amp;utm_content=trailer</x:v>
      </x:c>
      <x:c r="R6" s="81" t="str">
        <x:v>Meta Business Suite</x:v>
      </x:c>
      <x:c r="S6" s="117" t="str">
        <x:v>Programmabile</x:v>
      </x:c>
      <x:c r="T6" s="117" t="str">
        <x:v>Da fare</x:v>
      </x:c>
      <x:c r="U6" s="81" t="str">
        <x:v>Controlla che la destinazione sia la Pagina Facebook.</x:v>
      </x:c>
      <x:c r="V6" s="81" t="str">
        <x:f>IF(AND(E6&lt;TODAY(),T6&lt;&gt;"Pubblicato"),"SÌ","")</x:f>
      </x:c>
    </x:row>
    <x:row r="7" ht="78" customHeight="1">
      <x:c r="A7" s="117" t="str">
        <x:v>T006</x:v>
      </x:c>
      <x:c r="B7" s="117" t="n">
        <x:v>1</x:v>
      </x:c>
      <x:c r="C7" s="118" t="n">
        <x:f>'CAMPAGNE'!F2</x:f>
        <x:v>46236</x:v>
      </x:c>
      <x:c r="D7" s="119" t="n">
        <x:v>0.75</x:v>
      </x:c>
      <x:c r="E7" s="120" t="n">
        <x:f>'CAMPAGNE'!J2</x:f>
        <x:v>46240</x:v>
      </x:c>
      <x:c r="F7" s="117" t="str">
        <x:f>CHOOSE(WEEKDAY(E7,2),"Lunedì","Martedì","Mercoledì","Giovedì","Venerdì","Sabato","Domenica")</x:f>
        <x:v>Giovedì</x:v>
      </x:c>
      <x:c r="G7" s="119" t="n">
        <x:v>0.8333333333333334</x:v>
      </x:c>
      <x:c r="H7" s="117" t="str">
        <x:v>Instagram</x:v>
      </x:c>
      <x:c r="I7" s="117" t="str">
        <x:v>Carosello</x:v>
      </x:c>
      <x:c r="J7" s="81" t="str">
        <x:v>Notti Fugaci</x:v>
      </x:c>
      <x:c r="K7" s="117" t="str">
        <x:v>TRAILER</x:v>
      </x:c>
      <x:c r="L7" s="81" t="str">
        <x:v>Notti Fugaci</x:v>
      </x:c>
      <x:c r="M7" s="81" t="str">
        <x:v>Carica le tre immagini nell'ordine 01, 02, 03; incolla la caption e programma.</x:v>
      </x:c>
      <x:c r="N7" s="81" t="str">
        <x:v>Notti_Fugaci_Social_Pack/03_CAROUSELS/TRAILER/TRAILER_01.jpg
Notti_Fugaci_Social_Pack/03_CAROUSELS/TRAILER/TRAILER_02.jpg
Notti_Fugaci_Social_Pack/03_CAROUSELS/TRAILER/TRAILER_03.jpg</x:v>
      </x:c>
      <x:c r="O7" s="81" t="str">
        <x:v>Ordine obbligatorio: 01 → 02 → 03</x:v>
      </x:c>
      <x:c r="P7" s="81" t="str">
        <x:f>'TESTI'!E2</x:f>
        <x:v>Ci sono notti che finiscono all'alba. Altre continuano a vivere sotto la pelle.
Notti Fugaci apre la collana Diari di Pelle: dieci incontri attraversati senza cercare assoluzioni, tra desiderio, memoria, città e libertà.
Il libro è disponibile in versione cartacea e Kindle. Scoprilo dal link nel profilo.
#DiariDiPelle #NottiFugaci #NarrativaItaliana #LibriDaLeggere #RaccontiContemporanei</x:v>
      </x:c>
      <x:c r="Q7" s="81" t="str">
        <x:f>'TESTI'!J2</x:f>
        <x:v>https://diaridipelle.it/notti-fugaci.html</x:v>
      </x:c>
      <x:c r="R7" s="81" t="str">
        <x:v>App Instagram</x:v>
      </x:c>
      <x:c r="S7" s="117" t="str">
        <x:v>Programmabile</x:v>
      </x:c>
      <x:c r="T7" s="117" t="str">
        <x:v>Da fare</x:v>
      </x:c>
      <x:c r="U7" s="81" t="str">
        <x:v>Verifica che nessuna slide sia tagliata. Il link è nel profilo.</x:v>
      </x:c>
      <x:c r="V7" s="81" t="str">
        <x:f>IF(AND(E7&lt;TODAY(),T7&lt;&gt;"Pubblicato"),"SÌ","")</x:f>
      </x:c>
    </x:row>
    <x:row r="8" ht="78" customHeight="1">
      <x:c r="A8" s="117" t="str">
        <x:v>T007</x:v>
      </x:c>
      <x:c r="B8" s="117" t="n">
        <x:v>1</x:v>
      </x:c>
      <x:c r="C8" s="118" t="n">
        <x:f>'CAMPAGNE'!F2</x:f>
        <x:v>46236</x:v>
      </x:c>
      <x:c r="D8" s="119" t="n">
        <x:v>0.75</x:v>
      </x:c>
      <x:c r="E8" s="120" t="n">
        <x:f>'CAMPAGNE'!J2</x:f>
        <x:v>46240</x:v>
      </x:c>
      <x:c r="F8" s="117" t="str">
        <x:f>CHOOSE(WEEKDAY(E8,2),"Lunedì","Martedì","Mercoledì","Giovedì","Venerdì","Sabato","Domenica")</x:f>
        <x:v>Giovedì</x:v>
      </x:c>
      <x:c r="G8" s="119" t="n">
        <x:v>0.8333333333333334</x:v>
      </x:c>
      <x:c r="H8" s="117" t="str">
        <x:v>Facebook</x:v>
      </x:c>
      <x:c r="I8" s="117" t="str">
        <x:v>Carosello</x:v>
      </x:c>
      <x:c r="J8" s="81" t="str">
        <x:v>Notti Fugaci</x:v>
      </x:c>
      <x:c r="K8" s="117" t="str">
        <x:v>TRAILER</x:v>
      </x:c>
      <x:c r="L8" s="81" t="str">
        <x:v>Notti Fugaci</x:v>
      </x:c>
      <x:c r="M8" s="81" t="str">
        <x:v>Carica le tre immagini nell'ordine 01, 02, 03; incolla la caption e programma.</x:v>
      </x:c>
      <x:c r="N8" s="81" t="str">
        <x:v>Notti_Fugaci_Social_Pack/03_CAROUSELS/TRAILER/TRAILER_01.jpg
Notti_Fugaci_Social_Pack/03_CAROUSELS/TRAILER/TRAILER_02.jpg
Notti_Fugaci_Social_Pack/03_CAROUSELS/TRAILER/TRAILER_03.jpg</x:v>
      </x:c>
      <x:c r="O8" s="81" t="str">
        <x:v>Ordine obbligatorio: 01 → 02 → 03</x:v>
      </x:c>
      <x:c r="P8" s="81" t="str">
        <x:f>'TESTI'!F2</x:f>
        <x:v>Ci sono notti che finiscono all'alba. Altre continuano a vivere sotto la pelle.
Notti Fugaci apre la collana Diari di Pelle: dieci incontri attraversati senza cercare assoluzioni, tra desiderio, memoria, città e libertà.
Il libro è disponibile in versione cartacea e Kindle. Scoprilo dal link nel profilo.
🌐 https://diaridipelle.it/notti-fugaci.html
📕 Cartaceo: https://www.amazon.it/dp/B0GRWP3X7C
📱 Kindle: https://www.amazon.it/dp/B0GRWP6PMK
#DiariDiPelle #NottiFugaci #NarrativaItaliana #LibriDaLeggere #RaccontiContemporanei</x:v>
      </x:c>
      <x:c r="Q8" s="81" t="str">
        <x:f>'TESTI'!J2</x:f>
        <x:v>https://diaridipelle.it/notti-fugaci.html</x:v>
      </x:c>
      <x:c r="R8" s="81" t="str">
        <x:v>Meta Business Suite</x:v>
      </x:c>
      <x:c r="S8" s="117" t="str">
        <x:v>Programmabile</x:v>
      </x:c>
      <x:c r="T8" s="117" t="str">
        <x:v>Da fare</x:v>
      </x:c>
      <x:c r="U8" s="81" t="str">
        <x:v>Controlla ordine delle immagini e collegamenti nella caption.</x:v>
      </x:c>
      <x:c r="V8" s="81" t="str">
        <x:f>IF(AND(E8&lt;TODAY(),T8&lt;&gt;"Pubblicato"),"SÌ","")</x:f>
      </x:c>
    </x:row>
    <x:row r="9" ht="78" customHeight="1">
      <x:c r="A9" s="117" t="str">
        <x:v>T008</x:v>
      </x:c>
      <x:c r="B9" s="117" t="n">
        <x:v>1</x:v>
      </x:c>
      <x:c r="C9" s="118" t="n">
        <x:f>'CAMPAGNE'!F3</x:f>
        <x:v>46236</x:v>
      </x:c>
      <x:c r="D9" s="119" t="n">
        <x:v>0.75</x:v>
      </x:c>
      <x:c r="E9" s="120" t="n">
        <x:f>'CAMPAGNE'!H3</x:f>
        <x:v>46241</x:v>
      </x:c>
      <x:c r="F9" s="117" t="str">
        <x:f>CHOOSE(WEEKDAY(E9,2),"Lunedì","Martedì","Mercoledì","Giovedì","Venerdì","Sabato","Domenica")</x:f>
        <x:v>Venerdì</x:v>
      </x:c>
      <x:c r="G9" s="119" t="n">
        <x:v>0.8333333333333334</x:v>
      </x:c>
      <x:c r="H9" s="117" t="str">
        <x:v>Instagram</x:v>
      </x:c>
      <x:c r="I9" s="117" t="str">
        <x:v>Reel</x:v>
      </x:c>
      <x:c r="J9" s="81" t="str">
        <x:v>Notti Fugaci</x:v>
      </x:c>
      <x:c r="K9" s="117" t="str">
        <x:v>CH01</x:v>
      </x:c>
      <x:c r="L9" s="81" t="str">
        <x:v>L'ora del crepuscolo</x:v>
      </x:c>
      <x:c r="M9" s="81" t="str">
        <x:v>Carica il video, imposta la copertina, incolla la caption e programma.</x:v>
      </x:c>
      <x:c r="N9" s="81" t="str">
        <x:v>Notti_Fugaci_Social_Pack/01_REELS/CH01_reel.mp4</x:v>
      </x:c>
      <x:c r="O9" s="81" t="str">
        <x:v>Notti_Fugaci_Social_Pack/02_REEL_COVERS/CH01_cover.jpg</x:v>
      </x:c>
      <x:c r="P9" s="81" t="str">
        <x:f>'TESTI'!E3</x:f>
        <x:v>Quante volte hai lasciato che un «non posso» decidesse al posto tuo?
Per anni il desiderio è rimasto dall'altra parte del vetro. Poi, in una notte di pioggia sopra i tetti di Montmartre, il tempo tra due respiri ha cambiato tutto.
«L'ora del crepuscolo» apre Notti Fugaci: dieci incontri, dieci modi diversi di cambiare pelle.
La storia completa è disponibile in versione cartacea e Kindle. Trovi il libro dal link nel profilo.
#DiariDiPelle #NottiFugaci #NarrativaItaliana #Montmartre #LibriDaLeggere</x:v>
      </x:c>
      <x:c r="Q9" s="81" t="str">
        <x:f>'TESTI'!J3</x:f>
        <x:v>https://diaridipelle.it/notti-fugaci.html</x:v>
      </x:c>
      <x:c r="R9" s="81" t="str">
        <x:v>App Instagram</x:v>
      </x:c>
      <x:c r="S9" s="117" t="str">
        <x:v>Programmabile</x:v>
      </x:c>
      <x:c r="T9" s="117" t="str">
        <x:v>Da fare</x:v>
      </x:c>
      <x:c r="U9" s="81" t="str">
        <x:v>Controlla audio, ritaglio 9:16 e anteprima copertina. Il link è nel profilo.</x:v>
      </x:c>
      <x:c r="V9" s="81" t="str">
        <x:f>IF(AND(E9&lt;TODAY(),T9&lt;&gt;"Pubblicato"),"SÌ","")</x:f>
      </x:c>
    </x:row>
    <x:row r="10" ht="78" customHeight="1">
      <x:c r="A10" s="117" t="str">
        <x:v>T009</x:v>
      </x:c>
      <x:c r="B10" s="117" t="n">
        <x:v>1</x:v>
      </x:c>
      <x:c r="C10" s="118" t="n">
        <x:f>'CAMPAGNE'!F3</x:f>
        <x:v>46236</x:v>
      </x:c>
      <x:c r="D10" s="119" t="n">
        <x:v>0.75</x:v>
      </x:c>
      <x:c r="E10" s="120" t="n">
        <x:f>'CAMPAGNE'!H3</x:f>
        <x:v>46241</x:v>
      </x:c>
      <x:c r="F10" s="117" t="str">
        <x:f>CHOOSE(WEEKDAY(E10,2),"Lunedì","Martedì","Mercoledì","Giovedì","Venerdì","Sabato","Domenica")</x:f>
        <x:v>Venerdì</x:v>
      </x:c>
      <x:c r="G10" s="119" t="n">
        <x:v>0.8333333333333334</x:v>
      </x:c>
      <x:c r="H10" s="117" t="str">
        <x:v>Facebook</x:v>
      </x:c>
      <x:c r="I10" s="117" t="str">
        <x:v>Reel</x:v>
      </x:c>
      <x:c r="J10" s="81" t="str">
        <x:v>Notti Fugaci</x:v>
      </x:c>
      <x:c r="K10" s="117" t="str">
        <x:v>CH01</x:v>
      </x:c>
      <x:c r="L10" s="81" t="str">
        <x:v>L'ora del crepuscolo</x:v>
      </x:c>
      <x:c r="M10" s="81" t="str">
        <x:v>Crea un Reel nella Pagina, carica video e copertina, incolla la caption e programma.</x:v>
      </x:c>
      <x:c r="N10" s="81" t="str">
        <x:v>Notti_Fugaci_Social_Pack/01_REELS/CH01_reel.mp4</x:v>
      </x:c>
      <x:c r="O10" s="81" t="str">
        <x:v>Notti_Fugaci_Social_Pack/02_REEL_COVERS/CH01_cover.jpg</x:v>
      </x:c>
      <x:c r="P10" s="81" t="str">
        <x:f>'TESTI'!F3</x:f>
        <x:v>Quante volte hai lasciato che un «non posso» decidesse al posto tuo?
Per anni il desiderio è rimasto dall'altra parte del vetro. Poi, in una notte di pioggia sopra i tetti di Montmartre, il tempo tra due respiri ha cambiato tutto.
«L'ora del crepuscolo» apre Notti Fugaci: dieci incontri, dieci modi diversi di cambiare pelle.
La storia completa è disponibile in versione cartacea e Kindle. Trovi il libro dal link nel profilo.
🌐 https://diaridipelle.it/notti-fugaci.html
📕 Cartaceo: https://www.amazon.it/dp/B0GRWP3X7C
📱 Kindle: https://www.amazon.it/dp/B0GRWP6PMK
#DiariDiPelle #NottiFugaci #NarrativaItaliana #Montmartre #LibriDaLeggere</x:v>
      </x:c>
      <x:c r="Q10" s="81" t="str">
        <x:f>'TESTI'!J3</x:f>
        <x:v>https://diaridipelle.it/notti-fugaci.html</x:v>
      </x:c>
      <x:c r="R10" s="81" t="str">
        <x:v>Meta Business Suite</x:v>
      </x:c>
      <x:c r="S10" s="117" t="str">
        <x:v>Programmabile</x:v>
      </x:c>
      <x:c r="T10" s="117" t="str">
        <x:v>Da fare</x:v>
      </x:c>
      <x:c r="U10" s="81" t="str">
        <x:v>Pubblica sulla Pagina Facebook. I collegamenti nella caption sono cliccabili.</x:v>
      </x:c>
      <x:c r="V10" s="81" t="str">
        <x:f>IF(AND(E10&lt;TODAY(),T10&lt;&gt;"Pubblicato"),"SÌ","")</x:f>
      </x:c>
    </x:row>
    <x:row r="11" ht="78" customHeight="1">
      <x:c r="A11" s="117" t="str">
        <x:v>T010</x:v>
      </x:c>
      <x:c r="B11" s="117" t="n">
        <x:v>1</x:v>
      </x:c>
      <x:c r="C11" s="118" t="n">
        <x:f>'CAMPAGNE'!G3</x:f>
        <x:v>46236</x:v>
      </x:c>
      <x:c r="D11" s="119" t="n">
        <x:v>0.75</x:v>
      </x:c>
      <x:c r="E11" s="120" t="n">
        <x:f>'CAMPAGNE'!H3</x:f>
        <x:v>46241</x:v>
      </x:c>
      <x:c r="F11" s="117" t="str">
        <x:f>CHOOSE(WEEKDAY(E11,2),"Lunedì","Martedì","Mercoledì","Giovedì","Venerdì","Sabato","Domenica")</x:f>
        <x:v>Venerdì</x:v>
      </x:c>
      <x:c r="G11" s="119" t="n">
        <x:v>0.8333333333333334</x:v>
      </x:c>
      <x:c r="H11" s="117" t="str">
        <x:v>TikTok</x:v>
      </x:c>
      <x:c r="I11" s="117" t="str">
        <x:v>Video</x:v>
      </x:c>
      <x:c r="J11" s="81" t="str">
        <x:v>Notti Fugaci</x:v>
      </x:c>
      <x:c r="K11" s="117" t="str">
        <x:v>CH01</x:v>
      </x:c>
      <x:c r="L11" s="81" t="str">
        <x:v>L'ora del crepuscolo</x:v>
      </x:c>
      <x:c r="M11" s="81" t="str">
        <x:v>Carica il video in TikTok Studio, scegli la copertina, incolla la caption breve e programma.</x:v>
      </x:c>
      <x:c r="N11" s="81" t="str">
        <x:v>Notti_Fugaci_Social_Pack/01_REELS/CH01_reel.mp4</x:v>
      </x:c>
      <x:c r="O11" s="81" t="str">
        <x:v>Notti_Fugaci_Social_Pack/02_REEL_COVERS/CH01_cover.jpg</x:v>
      </x:c>
      <x:c r="P11" s="81" t="str">
        <x:f>'TESTI'!G3</x:f>
        <x:v>Quante volte hai lasciato che un «non posso» decidesse al posto tuo?
«L'ora del crepuscolo» da Notti Fugaci.
Scopri il libro dal link in bio.
#DiariDiPelle #NottiFugaci #BookTokItalia #LibriTikTok</x:v>
      </x:c>
      <x:c r="Q11" s="81" t="str">
        <x:f>'TESTI'!J3</x:f>
        <x:v>https://diaridipelle.it/notti-fugaci.html</x:v>
      </x:c>
      <x:c r="R11" s="81" t="str">
        <x:v>TikTok Studio</x:v>
      </x:c>
      <x:c r="S11" s="117" t="str">
        <x:v>Programmabile entro 10 giorni</x:v>
      </x:c>
      <x:c r="T11" s="117" t="str">
        <x:v>Da fare</x:v>
      </x:c>
      <x:c r="U11" s="81" t="str">
        <x:v>Non aggiungere watermark. Controlla anteprima verticale e audio.</x:v>
      </x:c>
      <x:c r="V11" s="81" t="str">
        <x:f>IF(AND(E11&lt;TODAY(),T11&lt;&gt;"Pubblicato"),"SÌ","")</x:f>
      </x:c>
    </x:row>
    <x:row r="12" ht="78" customHeight="1">
      <x:c r="A12" s="117" t="str">
        <x:v>T011</x:v>
      </x:c>
      <x:c r="B12" s="117" t="n">
        <x:v>1</x:v>
      </x:c>
      <x:c r="C12" s="118" t="n">
        <x:f>'CAMPAGNE'!I3</x:f>
        <x:v>46242</x:v>
      </x:c>
      <x:c r="D12" s="119" t="n">
        <x:v>0.4965277777777778</x:v>
      </x:c>
      <x:c r="E12" s="120" t="n">
        <x:f>'CAMPAGNE'!I3</x:f>
        <x:v>46242</x:v>
      </x:c>
      <x:c r="F12" s="117" t="str">
        <x:f>CHOOSE(WEEKDAY(E12,2),"Lunedì","Martedì","Mercoledì","Giovedì","Venerdì","Sabato","Domenica")</x:f>
        <x:v>Sabato</x:v>
      </x:c>
      <x:c r="G12" s="119" t="n">
        <x:v>0.5</x:v>
      </x:c>
      <x:c r="H12" s="117" t="str">
        <x:v>Instagram</x:v>
      </x:c>
      <x:c r="I12" s="117" t="str">
        <x:v>Storia</x:v>
      </x:c>
      <x:c r="J12" s="81" t="str">
        <x:v>Notti Fugaci</x:v>
      </x:c>
      <x:c r="K12" s="117" t="str">
        <x:v>CH01</x:v>
      </x:c>
      <x:c r="L12" s="81" t="str">
        <x:v>L'ora del crepuscolo</x:v>
      </x:c>
      <x:c r="M12" s="81" t="str">
        <x:v>Carica l'immagine, aggiungi l'adesivo Link e pubblica.</x:v>
      </x:c>
      <x:c r="N12" s="81" t="str">
        <x:v>Notti_Fugaci_Social_Pack/04_STORIES/CH01_story.jpg</x:v>
      </x:c>
      <x:c r="O12" s="81" t="str">
        <x:v>Notti_Fugaci_Social_Pack/05_CAPTIONS/CH01_story_link.txt</x:v>
      </x:c>
      <x:c r="P12" s="81" t="str">
        <x:f>'TESTI'!N3</x:f>
        <x:v>Tocca SCOPRI IL LIBRO e scegli cartaceo o Kindle.</x:v>
      </x:c>
      <x:c r="Q12" s="81" t="str">
        <x:f>'TESTI'!H3</x:f>
        <x:v>https://diaridipelle.it/notti-fugaci.html?utm_source=instagram&amp;utm_medium=story&amp;utm_campaign=notti_fugaci&amp;utm_content=ch01</x:v>
      </x:c>
      <x:c r="R12" s="81" t="str">
        <x:v>App Instagram</x:v>
      </x:c>
      <x:c r="S12" s="117" t="str">
        <x:v>Manuale</x:v>
      </x:c>
      <x:c r="T12" s="117" t="str">
        <x:v>Da fare</x:v>
      </x:c>
      <x:c r="U12" s="81" t="str">
        <x:v>La data lavoro è lo stesso giorno, 5 minuti prima. Testo adesivo: SCOPRI IL LIBRO.</x:v>
      </x:c>
      <x:c r="V12" s="81" t="str">
        <x:f>IF(AND(E12&lt;TODAY(),T12&lt;&gt;"Pubblicato"),"SÌ","")</x:f>
      </x:c>
    </x:row>
    <x:row r="13" ht="78" customHeight="1">
      <x:c r="A13" s="117" t="str">
        <x:v>T012</x:v>
      </x:c>
      <x:c r="B13" s="117" t="n">
        <x:v>1</x:v>
      </x:c>
      <x:c r="C13" s="118" t="n">
        <x:f>'CAMPAGNE'!F3</x:f>
        <x:v>46236</x:v>
      </x:c>
      <x:c r="D13" s="119" t="n">
        <x:v>0.75</x:v>
      </x:c>
      <x:c r="E13" s="120" t="n">
        <x:f>'CAMPAGNE'!I3</x:f>
        <x:v>46242</x:v>
      </x:c>
      <x:c r="F13" s="117" t="str">
        <x:f>CHOOSE(WEEKDAY(E13,2),"Lunedì","Martedì","Mercoledì","Giovedì","Venerdì","Sabato","Domenica")</x:f>
        <x:v>Sabato</x:v>
      </x:c>
      <x:c r="G13" s="119" t="n">
        <x:v>0.5</x:v>
      </x:c>
      <x:c r="H13" s="117" t="str">
        <x:v>Facebook</x:v>
      </x:c>
      <x:c r="I13" s="117" t="str">
        <x:v>Storia</x:v>
      </x:c>
      <x:c r="J13" s="81" t="str">
        <x:v>Notti Fugaci</x:v>
      </x:c>
      <x:c r="K13" s="117" t="str">
        <x:v>CH01</x:v>
      </x:c>
      <x:c r="L13" s="81" t="str">
        <x:v>L'ora del crepuscolo</x:v>
      </x:c>
      <x:c r="M13" s="81" t="str">
        <x:v>Crea una Storia della Pagina, carica l'immagine, aggiungi il link e programma.</x:v>
      </x:c>
      <x:c r="N13" s="81" t="str">
        <x:v>Notti_Fugaci_Social_Pack/04_STORIES/CH01_story.jpg</x:v>
      </x:c>
      <x:c r="O13" s="81" t="str">
        <x:v>Notti_Fugaci_Social_Pack/05_CAPTIONS/CH01_story_link.txt</x:v>
      </x:c>
      <x:c r="P13" s="81" t="str">
        <x:f>'TESTI'!N3</x:f>
        <x:v>Tocca SCOPRI IL LIBRO e scegli cartaceo o Kindle.</x:v>
      </x:c>
      <x:c r="Q13" s="81" t="str">
        <x:f>'TESTI'!I3</x:f>
        <x:v>https://diaridipelle.it/notti-fugaci.html?utm_source=facebook&amp;utm_medium=story&amp;utm_campaign=notti_fugaci&amp;utm_content=ch01</x:v>
      </x:c>
      <x:c r="R13" s="81" t="str">
        <x:v>Meta Business Suite</x:v>
      </x:c>
      <x:c r="S13" s="117" t="str">
        <x:v>Programmabile</x:v>
      </x:c>
      <x:c r="T13" s="117" t="str">
        <x:v>Da fare</x:v>
      </x:c>
      <x:c r="U13" s="81" t="str">
        <x:v>Controlla che la destinazione sia la Pagina Facebook.</x:v>
      </x:c>
      <x:c r="V13" s="81" t="str">
        <x:f>IF(AND(E13&lt;TODAY(),T13&lt;&gt;"Pubblicato"),"SÌ","")</x:f>
      </x:c>
    </x:row>
    <x:row r="14" ht="78" customHeight="1">
      <x:c r="A14" s="117" t="str">
        <x:v>T013</x:v>
      </x:c>
      <x:c r="B14" s="117" t="n">
        <x:v>1</x:v>
      </x:c>
      <x:c r="C14" s="118" t="n">
        <x:f>'CAMPAGNE'!F3</x:f>
        <x:v>46236</x:v>
      </x:c>
      <x:c r="D14" s="119" t="n">
        <x:v>0.75</x:v>
      </x:c>
      <x:c r="E14" s="120" t="n">
        <x:f>'CAMPAGNE'!J3</x:f>
        <x:v>46243</x:v>
      </x:c>
      <x:c r="F14" s="117" t="str">
        <x:f>CHOOSE(WEEKDAY(E14,2),"Lunedì","Martedì","Mercoledì","Giovedì","Venerdì","Sabato","Domenica")</x:f>
        <x:v>Domenica</x:v>
      </x:c>
      <x:c r="G14" s="119" t="n">
        <x:v>0.4583333333333333</x:v>
      </x:c>
      <x:c r="H14" s="117" t="str">
        <x:v>Instagram</x:v>
      </x:c>
      <x:c r="I14" s="117" t="str">
        <x:v>Carosello</x:v>
      </x:c>
      <x:c r="J14" s="81" t="str">
        <x:v>Notti Fugaci</x:v>
      </x:c>
      <x:c r="K14" s="117" t="str">
        <x:v>CH01</x:v>
      </x:c>
      <x:c r="L14" s="81" t="str">
        <x:v>L'ora del crepuscolo</x:v>
      </x:c>
      <x:c r="M14" s="81" t="str">
        <x:v>Carica le tre immagini nell'ordine 01, 02, 03; incolla la caption e programma.</x:v>
      </x:c>
      <x:c r="N14" s="81" t="str">
        <x:v>Notti_Fugaci_Social_Pack/03_CAROUSELS/CH01/CH01_01.jpg
Notti_Fugaci_Social_Pack/03_CAROUSELS/CH01/CH01_02.jpg
Notti_Fugaci_Social_Pack/03_CAROUSELS/CH01/CH01_03.jpg</x:v>
      </x:c>
      <x:c r="O14" s="81" t="str">
        <x:v>Ordine obbligatorio: 01 → 02 → 03</x:v>
      </x:c>
      <x:c r="P14" s="81" t="str">
        <x:f>'TESTI'!E3</x:f>
        <x:v>Quante volte hai lasciato che un «non posso» decidesse al posto tuo?
Per anni il desiderio è rimasto dall'altra parte del vetro. Poi, in una notte di pioggia sopra i tetti di Montmartre, il tempo tra due respiri ha cambiato tutto.
«L'ora del crepuscolo» apre Notti Fugaci: dieci incontri, dieci modi diversi di cambiare pelle.
La storia completa è disponibile in versione cartacea e Kindle. Trovi il libro dal link nel profilo.
#DiariDiPelle #NottiFugaci #NarrativaItaliana #Montmartre #LibriDaLeggere</x:v>
      </x:c>
      <x:c r="Q14" s="81" t="str">
        <x:f>'TESTI'!J3</x:f>
        <x:v>https://diaridipelle.it/notti-fugaci.html</x:v>
      </x:c>
      <x:c r="R14" s="81" t="str">
        <x:v>App Instagram</x:v>
      </x:c>
      <x:c r="S14" s="117" t="str">
        <x:v>Programmabile</x:v>
      </x:c>
      <x:c r="T14" s="117" t="str">
        <x:v>Da fare</x:v>
      </x:c>
      <x:c r="U14" s="81" t="str">
        <x:v>Verifica che nessuna slide sia tagliata. Il link è nel profilo.</x:v>
      </x:c>
      <x:c r="V14" s="81" t="str">
        <x:f>IF(AND(E14&lt;TODAY(),T14&lt;&gt;"Pubblicato"),"SÌ","")</x:f>
      </x:c>
    </x:row>
    <x:row r="15" ht="78" customHeight="1">
      <x:c r="A15" s="117" t="str">
        <x:v>T014</x:v>
      </x:c>
      <x:c r="B15" s="117" t="n">
        <x:v>1</x:v>
      </x:c>
      <x:c r="C15" s="118" t="n">
        <x:f>'CAMPAGNE'!F3</x:f>
        <x:v>46236</x:v>
      </x:c>
      <x:c r="D15" s="119" t="n">
        <x:v>0.75</x:v>
      </x:c>
      <x:c r="E15" s="120" t="n">
        <x:f>'CAMPAGNE'!J3</x:f>
        <x:v>46243</x:v>
      </x:c>
      <x:c r="F15" s="117" t="str">
        <x:f>CHOOSE(WEEKDAY(E15,2),"Lunedì","Martedì","Mercoledì","Giovedì","Venerdì","Sabato","Domenica")</x:f>
        <x:v>Domenica</x:v>
      </x:c>
      <x:c r="G15" s="119" t="n">
        <x:v>0.4583333333333333</x:v>
      </x:c>
      <x:c r="H15" s="117" t="str">
        <x:v>Facebook</x:v>
      </x:c>
      <x:c r="I15" s="117" t="str">
        <x:v>Carosello</x:v>
      </x:c>
      <x:c r="J15" s="81" t="str">
        <x:v>Notti Fugaci</x:v>
      </x:c>
      <x:c r="K15" s="117" t="str">
        <x:v>CH01</x:v>
      </x:c>
      <x:c r="L15" s="81" t="str">
        <x:v>L'ora del crepuscolo</x:v>
      </x:c>
      <x:c r="M15" s="81" t="str">
        <x:v>Carica le tre immagini nell'ordine 01, 02, 03; incolla la caption e programma.</x:v>
      </x:c>
      <x:c r="N15" s="81" t="str">
        <x:v>Notti_Fugaci_Social_Pack/03_CAROUSELS/CH01/CH01_01.jpg
Notti_Fugaci_Social_Pack/03_CAROUSELS/CH01/CH01_02.jpg
Notti_Fugaci_Social_Pack/03_CAROUSELS/CH01/CH01_03.jpg</x:v>
      </x:c>
      <x:c r="O15" s="81" t="str">
        <x:v>Ordine obbligatorio: 01 → 02 → 03</x:v>
      </x:c>
      <x:c r="P15" s="81" t="str">
        <x:f>'TESTI'!F3</x:f>
        <x:v>Quante volte hai lasciato che un «non posso» decidesse al posto tuo?
Per anni il desiderio è rimasto dall'altra parte del vetro. Poi, in una notte di pioggia sopra i tetti di Montmartre, il tempo tra due respiri ha cambiato tutto.
«L'ora del crepuscolo» apre Notti Fugaci: dieci incontri, dieci modi diversi di cambiare pelle.
La storia completa è disponibile in versione cartacea e Kindle. Trovi il libro dal link nel profilo.
🌐 https://diaridipelle.it/notti-fugaci.html
📕 Cartaceo: https://www.amazon.it/dp/B0GRWP3X7C
📱 Kindle: https://www.amazon.it/dp/B0GRWP6PMK
#DiariDiPelle #NottiFugaci #NarrativaItaliana #Montmartre #LibriDaLeggere</x:v>
      </x:c>
      <x:c r="Q15" s="81" t="str">
        <x:f>'TESTI'!J3</x:f>
        <x:v>https://diaridipelle.it/notti-fugaci.html</x:v>
      </x:c>
      <x:c r="R15" s="81" t="str">
        <x:v>Meta Business Suite</x:v>
      </x:c>
      <x:c r="S15" s="117" t="str">
        <x:v>Programmabile</x:v>
      </x:c>
      <x:c r="T15" s="117" t="str">
        <x:v>Da fare</x:v>
      </x:c>
      <x:c r="U15" s="81" t="str">
        <x:v>Controlla ordine delle immagini e collegamenti nella caption.</x:v>
      </x:c>
      <x:c r="V15" s="81" t="str">
        <x:f>IF(AND(E15&lt;TODAY(),T15&lt;&gt;"Pubblicato"),"SÌ","")</x:f>
      </x:c>
    </x:row>
    <x:row r="16" ht="78" customHeight="1">
      <x:c r="A16" s="117" t="str">
        <x:v>T015</x:v>
      </x:c>
      <x:c r="B16" s="117" t="n">
        <x:v>2</x:v>
      </x:c>
      <x:c r="C16" s="118" t="n">
        <x:f>'CAMPAGNE'!F4</x:f>
        <x:v>46236</x:v>
      </x:c>
      <x:c r="D16" s="119" t="n">
        <x:v>0.75</x:v>
      </x:c>
      <x:c r="E16" s="120" t="n">
        <x:f>'CAMPAGNE'!H4</x:f>
        <x:v>46245</x:v>
      </x:c>
      <x:c r="F16" s="117" t="str">
        <x:f>CHOOSE(WEEKDAY(E16,2),"Lunedì","Martedì","Mercoledì","Giovedì","Venerdì","Sabato","Domenica")</x:f>
        <x:v>Martedì</x:v>
      </x:c>
      <x:c r="G16" s="119" t="n">
        <x:v>0.8333333333333334</x:v>
      </x:c>
      <x:c r="H16" s="117" t="str">
        <x:v>Instagram</x:v>
      </x:c>
      <x:c r="I16" s="117" t="str">
        <x:v>Reel</x:v>
      </x:c>
      <x:c r="J16" s="81" t="str">
        <x:v>Notti Fugaci</x:v>
      </x:c>
      <x:c r="K16" s="117" t="str">
        <x:v>CH02</x:v>
      </x:c>
      <x:c r="L16" s="81" t="str">
        <x:v>Amélie</x:v>
      </x:c>
      <x:c r="M16" s="81" t="str">
        <x:v>Carica il video, imposta la copertina, incolla la caption e programma.</x:v>
      </x:c>
      <x:c r="N16" s="81" t="str">
        <x:v>Notti_Fugaci_Social_Pack/01_REELS/CH02_reel.mp4</x:v>
      </x:c>
      <x:c r="O16" s="81" t="str">
        <x:v>Notti_Fugaci_Social_Pack/02_REEL_COVERS/CH02_cover.jpg</x:v>
      </x:c>
      <x:c r="P16" s="81" t="str">
        <x:f>'TESTI'!E4</x:f>
        <x:v>Parigi gli aveva dato una stanza, una pioggia leggera e una possibilità: smettere di trattenersi.
Con Amélie non ci furono promesse inutili. Solo il tempo tra due respiri, una carbonara all'alba e una porta attraversata per la prima volta.
Il secondo capitolo di Notti Fugaci racconta quando il corpo smette di essere una gabbia e diventa finalmente presenza.
Continua la storia dal link nel profilo. Disponibile in cartaceo e Kindle.
#DiariDiPelle #NottiFugaci #Parigi #NarrativaContemporanea #LibriItaliani</x:v>
      </x:c>
      <x:c r="Q16" s="81" t="str">
        <x:f>'TESTI'!J4</x:f>
        <x:v>https://diaridipelle.it/notti-fugaci.html</x:v>
      </x:c>
      <x:c r="R16" s="81" t="str">
        <x:v>App Instagram</x:v>
      </x:c>
      <x:c r="S16" s="117" t="str">
        <x:v>Programmabile</x:v>
      </x:c>
      <x:c r="T16" s="117" t="str">
        <x:v>Da fare</x:v>
      </x:c>
      <x:c r="U16" s="81" t="str">
        <x:v>Controlla audio, ritaglio 9:16 e anteprima copertina. Il link è nel profilo.</x:v>
      </x:c>
      <x:c r="V16" s="81" t="str">
        <x:f>IF(AND(E16&lt;TODAY(),T16&lt;&gt;"Pubblicato"),"SÌ","")</x:f>
      </x:c>
    </x:row>
    <x:row r="17" ht="78" customHeight="1">
      <x:c r="A17" s="117" t="str">
        <x:v>T016</x:v>
      </x:c>
      <x:c r="B17" s="117" t="n">
        <x:v>2</x:v>
      </x:c>
      <x:c r="C17" s="118" t="n">
        <x:f>'CAMPAGNE'!F4</x:f>
        <x:v>46236</x:v>
      </x:c>
      <x:c r="D17" s="119" t="n">
        <x:v>0.75</x:v>
      </x:c>
      <x:c r="E17" s="120" t="n">
        <x:f>'CAMPAGNE'!H4</x:f>
        <x:v>46245</x:v>
      </x:c>
      <x:c r="F17" s="117" t="str">
        <x:f>CHOOSE(WEEKDAY(E17,2),"Lunedì","Martedì","Mercoledì","Giovedì","Venerdì","Sabato","Domenica")</x:f>
        <x:v>Martedì</x:v>
      </x:c>
      <x:c r="G17" s="119" t="n">
        <x:v>0.8333333333333334</x:v>
      </x:c>
      <x:c r="H17" s="117" t="str">
        <x:v>Facebook</x:v>
      </x:c>
      <x:c r="I17" s="117" t="str">
        <x:v>Reel</x:v>
      </x:c>
      <x:c r="J17" s="81" t="str">
        <x:v>Notti Fugaci</x:v>
      </x:c>
      <x:c r="K17" s="117" t="str">
        <x:v>CH02</x:v>
      </x:c>
      <x:c r="L17" s="81" t="str">
        <x:v>Amélie</x:v>
      </x:c>
      <x:c r="M17" s="81" t="str">
        <x:v>Crea un Reel nella Pagina, carica video e copertina, incolla la caption e programma.</x:v>
      </x:c>
      <x:c r="N17" s="81" t="str">
        <x:v>Notti_Fugaci_Social_Pack/01_REELS/CH02_reel.mp4</x:v>
      </x:c>
      <x:c r="O17" s="81" t="str">
        <x:v>Notti_Fugaci_Social_Pack/02_REEL_COVERS/CH02_cover.jpg</x:v>
      </x:c>
      <x:c r="P17" s="81" t="str">
        <x:f>'TESTI'!F4</x:f>
        <x:v>Parigi gli aveva dato una stanza, una pioggia leggera e una possibilità: smettere di trattenersi.
Con Amélie non ci furono promesse inutili. Solo il tempo tra due respiri, una carbonara all'alba e una porta attraversata per la prima volta.
Il secondo capitolo di Notti Fugaci racconta quando il corpo smette di essere una gabbia e diventa finalmente presenza.
Continua la storia dal link nel profilo. Disponibile in cartaceo e Kindle.
🌐 https://diaridipelle.it/notti-fugaci.html
📕 Cartaceo: https://www.amazon.it/dp/B0GRWP3X7C
📱 Kindle: https://www.amazon.it/dp/B0GRWP6PMK
#DiariDiPelle #NottiFugaci #Parigi #NarrativaContemporanea #LibriItaliani</x:v>
      </x:c>
      <x:c r="Q17" s="81" t="str">
        <x:f>'TESTI'!J4</x:f>
        <x:v>https://diaridipelle.it/notti-fugaci.html</x:v>
      </x:c>
      <x:c r="R17" s="81" t="str">
        <x:v>Meta Business Suite</x:v>
      </x:c>
      <x:c r="S17" s="117" t="str">
        <x:v>Programmabile</x:v>
      </x:c>
      <x:c r="T17" s="117" t="str">
        <x:v>Da fare</x:v>
      </x:c>
      <x:c r="U17" s="81" t="str">
        <x:v>Pubblica sulla Pagina Facebook. I collegamenti nella caption sono cliccabili.</x:v>
      </x:c>
      <x:c r="V17" s="81" t="str">
        <x:f>IF(AND(E17&lt;TODAY(),T17&lt;&gt;"Pubblicato"),"SÌ","")</x:f>
      </x:c>
    </x:row>
    <x:row r="18" ht="78" customHeight="1">
      <x:c r="A18" s="117" t="str">
        <x:v>T017</x:v>
      </x:c>
      <x:c r="B18" s="117" t="n">
        <x:v>2</x:v>
      </x:c>
      <x:c r="C18" s="118" t="n">
        <x:f>'CAMPAGNE'!G4</x:f>
        <x:v>46243</x:v>
      </x:c>
      <x:c r="D18" s="119" t="n">
        <x:v>0.75</x:v>
      </x:c>
      <x:c r="E18" s="120" t="n">
        <x:f>'CAMPAGNE'!H4</x:f>
        <x:v>46245</x:v>
      </x:c>
      <x:c r="F18" s="117" t="str">
        <x:f>CHOOSE(WEEKDAY(E18,2),"Lunedì","Martedì","Mercoledì","Giovedì","Venerdì","Sabato","Domenica")</x:f>
        <x:v>Martedì</x:v>
      </x:c>
      <x:c r="G18" s="119" t="n">
        <x:v>0.8333333333333334</x:v>
      </x:c>
      <x:c r="H18" s="117" t="str">
        <x:v>TikTok</x:v>
      </x:c>
      <x:c r="I18" s="117" t="str">
        <x:v>Video</x:v>
      </x:c>
      <x:c r="J18" s="81" t="str">
        <x:v>Notti Fugaci</x:v>
      </x:c>
      <x:c r="K18" s="117" t="str">
        <x:v>CH02</x:v>
      </x:c>
      <x:c r="L18" s="81" t="str">
        <x:v>Amélie</x:v>
      </x:c>
      <x:c r="M18" s="81" t="str">
        <x:v>Carica il video in TikTok Studio, scegli la copertina, incolla la caption breve e programma.</x:v>
      </x:c>
      <x:c r="N18" s="81" t="str">
        <x:v>Notti_Fugaci_Social_Pack/01_REELS/CH02_reel.mp4</x:v>
      </x:c>
      <x:c r="O18" s="81" t="str">
        <x:v>Notti_Fugaci_Social_Pack/02_REEL_COVERS/CH02_cover.jpg</x:v>
      </x:c>
      <x:c r="P18" s="81" t="str">
        <x:f>'TESTI'!G4</x:f>
        <x:v>Parigi gli aveva dato una stanza, una pioggia leggera e una possibilità: smettere di trattenersi.
«Amélie» da Notti Fugaci.
Scopri il libro dal link in bio.
#DiariDiPelle #NottiFugaci #BookTokItalia #LibriTikTok</x:v>
      </x:c>
      <x:c r="Q18" s="81" t="str">
        <x:f>'TESTI'!J4</x:f>
        <x:v>https://diaridipelle.it/notti-fugaci.html</x:v>
      </x:c>
      <x:c r="R18" s="81" t="str">
        <x:v>TikTok Studio</x:v>
      </x:c>
      <x:c r="S18" s="117" t="str">
        <x:v>Programmabile entro 10 giorni</x:v>
      </x:c>
      <x:c r="T18" s="117" t="str">
        <x:v>Da fare</x:v>
      </x:c>
      <x:c r="U18" s="81" t="str">
        <x:v>Non aggiungere watermark. Controlla anteprima verticale e audio.</x:v>
      </x:c>
      <x:c r="V18" s="81" t="str">
        <x:f>IF(AND(E18&lt;TODAY(),T18&lt;&gt;"Pubblicato"),"SÌ","")</x:f>
      </x:c>
    </x:row>
    <x:row r="19" ht="78" customHeight="1">
      <x:c r="A19" s="117" t="str">
        <x:v>T018</x:v>
      </x:c>
      <x:c r="B19" s="117" t="n">
        <x:v>2</x:v>
      </x:c>
      <x:c r="C19" s="118" t="n">
        <x:f>'CAMPAGNE'!I4</x:f>
        <x:v>46246</x:v>
      </x:c>
      <x:c r="D19" s="119" t="n">
        <x:v>0.4965277777777778</x:v>
      </x:c>
      <x:c r="E19" s="120" t="n">
        <x:f>'CAMPAGNE'!I4</x:f>
        <x:v>46246</x:v>
      </x:c>
      <x:c r="F19" s="117" t="str">
        <x:f>CHOOSE(WEEKDAY(E19,2),"Lunedì","Martedì","Mercoledì","Giovedì","Venerdì","Sabato","Domenica")</x:f>
        <x:v>Mercoledì</x:v>
      </x:c>
      <x:c r="G19" s="119" t="n">
        <x:v>0.5</x:v>
      </x:c>
      <x:c r="H19" s="117" t="str">
        <x:v>Instagram</x:v>
      </x:c>
      <x:c r="I19" s="117" t="str">
        <x:v>Storia</x:v>
      </x:c>
      <x:c r="J19" s="81" t="str">
        <x:v>Notti Fugaci</x:v>
      </x:c>
      <x:c r="K19" s="117" t="str">
        <x:v>CH02</x:v>
      </x:c>
      <x:c r="L19" s="81" t="str">
        <x:v>Amélie</x:v>
      </x:c>
      <x:c r="M19" s="81" t="str">
        <x:v>Carica l'immagine, aggiungi l'adesivo Link e pubblica.</x:v>
      </x:c>
      <x:c r="N19" s="81" t="str">
        <x:v>Notti_Fugaci_Social_Pack/04_STORIES/CH02_story.jpg</x:v>
      </x:c>
      <x:c r="O19" s="81" t="str">
        <x:v>Notti_Fugaci_Social_Pack/05_CAPTIONS/CH02_story_link.txt</x:v>
      </x:c>
      <x:c r="P19" s="81" t="str">
        <x:f>'TESTI'!N4</x:f>
        <x:v>Tocca SCOPRI IL LIBRO e scegli cartaceo o Kindle.</x:v>
      </x:c>
      <x:c r="Q19" s="81" t="str">
        <x:f>'TESTI'!H4</x:f>
        <x:v>https://diaridipelle.it/notti-fugaci.html?utm_source=instagram&amp;utm_medium=story&amp;utm_campaign=notti_fugaci&amp;utm_content=ch02</x:v>
      </x:c>
      <x:c r="R19" s="81" t="str">
        <x:v>App Instagram</x:v>
      </x:c>
      <x:c r="S19" s="117" t="str">
        <x:v>Manuale</x:v>
      </x:c>
      <x:c r="T19" s="117" t="str">
        <x:v>Da fare</x:v>
      </x:c>
      <x:c r="U19" s="81" t="str">
        <x:v>La data lavoro è lo stesso giorno, 5 minuti prima. Testo adesivo: SCOPRI IL LIBRO.</x:v>
      </x:c>
      <x:c r="V19" s="81" t="str">
        <x:f>IF(AND(E19&lt;TODAY(),T19&lt;&gt;"Pubblicato"),"SÌ","")</x:f>
      </x:c>
    </x:row>
    <x:row r="20" ht="78" customHeight="1">
      <x:c r="A20" s="117" t="str">
        <x:v>T019</x:v>
      </x:c>
      <x:c r="B20" s="117" t="n">
        <x:v>2</x:v>
      </x:c>
      <x:c r="C20" s="118" t="n">
        <x:f>'CAMPAGNE'!F4</x:f>
        <x:v>46236</x:v>
      </x:c>
      <x:c r="D20" s="119" t="n">
        <x:v>0.75</x:v>
      </x:c>
      <x:c r="E20" s="120" t="n">
        <x:f>'CAMPAGNE'!I4</x:f>
        <x:v>46246</x:v>
      </x:c>
      <x:c r="F20" s="117" t="str">
        <x:f>CHOOSE(WEEKDAY(E20,2),"Lunedì","Martedì","Mercoledì","Giovedì","Venerdì","Sabato","Domenica")</x:f>
        <x:v>Mercoledì</x:v>
      </x:c>
      <x:c r="G20" s="119" t="n">
        <x:v>0.5</x:v>
      </x:c>
      <x:c r="H20" s="117" t="str">
        <x:v>Facebook</x:v>
      </x:c>
      <x:c r="I20" s="117" t="str">
        <x:v>Storia</x:v>
      </x:c>
      <x:c r="J20" s="81" t="str">
        <x:v>Notti Fugaci</x:v>
      </x:c>
      <x:c r="K20" s="117" t="str">
        <x:v>CH02</x:v>
      </x:c>
      <x:c r="L20" s="81" t="str">
        <x:v>Amélie</x:v>
      </x:c>
      <x:c r="M20" s="81" t="str">
        <x:v>Crea una Storia della Pagina, carica l'immagine, aggiungi il link e programma.</x:v>
      </x:c>
      <x:c r="N20" s="81" t="str">
        <x:v>Notti_Fugaci_Social_Pack/04_STORIES/CH02_story.jpg</x:v>
      </x:c>
      <x:c r="O20" s="81" t="str">
        <x:v>Notti_Fugaci_Social_Pack/05_CAPTIONS/CH02_story_link.txt</x:v>
      </x:c>
      <x:c r="P20" s="81" t="str">
        <x:f>'TESTI'!N4</x:f>
        <x:v>Tocca SCOPRI IL LIBRO e scegli cartaceo o Kindle.</x:v>
      </x:c>
      <x:c r="Q20" s="81" t="str">
        <x:f>'TESTI'!I4</x:f>
        <x:v>https://diaridipelle.it/notti-fugaci.html?utm_source=facebook&amp;utm_medium=story&amp;utm_campaign=notti_fugaci&amp;utm_content=ch02</x:v>
      </x:c>
      <x:c r="R20" s="81" t="str">
        <x:v>Meta Business Suite</x:v>
      </x:c>
      <x:c r="S20" s="117" t="str">
        <x:v>Programmabile</x:v>
      </x:c>
      <x:c r="T20" s="117" t="str">
        <x:v>Da fare</x:v>
      </x:c>
      <x:c r="U20" s="81" t="str">
        <x:v>Controlla che la destinazione sia la Pagina Facebook.</x:v>
      </x:c>
      <x:c r="V20" s="81" t="str">
        <x:f>IF(AND(E20&lt;TODAY(),T20&lt;&gt;"Pubblicato"),"SÌ","")</x:f>
      </x:c>
    </x:row>
    <x:row r="21" ht="78" customHeight="1">
      <x:c r="A21" s="117" t="str">
        <x:v>T020</x:v>
      </x:c>
      <x:c r="B21" s="117" t="n">
        <x:v>2</x:v>
      </x:c>
      <x:c r="C21" s="118" t="n">
        <x:f>'CAMPAGNE'!F4</x:f>
        <x:v>46236</x:v>
      </x:c>
      <x:c r="D21" s="119" t="n">
        <x:v>0.75</x:v>
      </x:c>
      <x:c r="E21" s="120" t="n">
        <x:f>'CAMPAGNE'!J4</x:f>
        <x:v>46247</x:v>
      </x:c>
      <x:c r="F21" s="117" t="str">
        <x:f>CHOOSE(WEEKDAY(E21,2),"Lunedì","Martedì","Mercoledì","Giovedì","Venerdì","Sabato","Domenica")</x:f>
        <x:v>Giovedì</x:v>
      </x:c>
      <x:c r="G21" s="119" t="n">
        <x:v>0.8333333333333334</x:v>
      </x:c>
      <x:c r="H21" s="117" t="str">
        <x:v>Instagram</x:v>
      </x:c>
      <x:c r="I21" s="117" t="str">
        <x:v>Carosello</x:v>
      </x:c>
      <x:c r="J21" s="81" t="str">
        <x:v>Notti Fugaci</x:v>
      </x:c>
      <x:c r="K21" s="117" t="str">
        <x:v>CH02</x:v>
      </x:c>
      <x:c r="L21" s="81" t="str">
        <x:v>Amélie</x:v>
      </x:c>
      <x:c r="M21" s="81" t="str">
        <x:v>Carica le tre immagini nell'ordine 01, 02, 03; incolla la caption e programma.</x:v>
      </x:c>
      <x:c r="N21" s="81" t="str">
        <x:v>Notti_Fugaci_Social_Pack/03_CAROUSELS/CH02/CH02_01.jpg
Notti_Fugaci_Social_Pack/03_CAROUSELS/CH02/CH02_02.jpg
Notti_Fugaci_Social_Pack/03_CAROUSELS/CH02/CH02_03.jpg</x:v>
      </x:c>
      <x:c r="O21" s="81" t="str">
        <x:v>Ordine obbligatorio: 01 → 02 → 03</x:v>
      </x:c>
      <x:c r="P21" s="81" t="str">
        <x:f>'TESTI'!E4</x:f>
        <x:v>Parigi gli aveva dato una stanza, una pioggia leggera e una possibilità: smettere di trattenersi.
Con Amélie non ci furono promesse inutili. Solo il tempo tra due respiri, una carbonara all'alba e una porta attraversata per la prima volta.
Il secondo capitolo di Notti Fugaci racconta quando il corpo smette di essere una gabbia e diventa finalmente presenza.
Continua la storia dal link nel profilo. Disponibile in cartaceo e Kindle.
#DiariDiPelle #NottiFugaci #Parigi #NarrativaContemporanea #LibriItaliani</x:v>
      </x:c>
      <x:c r="Q21" s="81" t="str">
        <x:f>'TESTI'!J4</x:f>
        <x:v>https://diaridipelle.it/notti-fugaci.html</x:v>
      </x:c>
      <x:c r="R21" s="81" t="str">
        <x:v>App Instagram</x:v>
      </x:c>
      <x:c r="S21" s="117" t="str">
        <x:v>Programmabile</x:v>
      </x:c>
      <x:c r="T21" s="117" t="str">
        <x:v>Da fare</x:v>
      </x:c>
      <x:c r="U21" s="81" t="str">
        <x:v>Verifica che nessuna slide sia tagliata. Il link è nel profilo.</x:v>
      </x:c>
      <x:c r="V21" s="81" t="str">
        <x:f>IF(AND(E21&lt;TODAY(),T21&lt;&gt;"Pubblicato"),"SÌ","")</x:f>
      </x:c>
    </x:row>
    <x:row r="22" ht="78" customHeight="1">
      <x:c r="A22" s="117" t="str">
        <x:v>T021</x:v>
      </x:c>
      <x:c r="B22" s="117" t="n">
        <x:v>2</x:v>
      </x:c>
      <x:c r="C22" s="118" t="n">
        <x:f>'CAMPAGNE'!F4</x:f>
        <x:v>46236</x:v>
      </x:c>
      <x:c r="D22" s="119" t="n">
        <x:v>0.75</x:v>
      </x:c>
      <x:c r="E22" s="120" t="n">
        <x:f>'CAMPAGNE'!J4</x:f>
        <x:v>46247</x:v>
      </x:c>
      <x:c r="F22" s="117" t="str">
        <x:f>CHOOSE(WEEKDAY(E22,2),"Lunedì","Martedì","Mercoledì","Giovedì","Venerdì","Sabato","Domenica")</x:f>
        <x:v>Giovedì</x:v>
      </x:c>
      <x:c r="G22" s="119" t="n">
        <x:v>0.8333333333333334</x:v>
      </x:c>
      <x:c r="H22" s="117" t="str">
        <x:v>Facebook</x:v>
      </x:c>
      <x:c r="I22" s="117" t="str">
        <x:v>Carosello</x:v>
      </x:c>
      <x:c r="J22" s="81" t="str">
        <x:v>Notti Fugaci</x:v>
      </x:c>
      <x:c r="K22" s="117" t="str">
        <x:v>CH02</x:v>
      </x:c>
      <x:c r="L22" s="81" t="str">
        <x:v>Amélie</x:v>
      </x:c>
      <x:c r="M22" s="81" t="str">
        <x:v>Carica le tre immagini nell'ordine 01, 02, 03; incolla la caption e programma.</x:v>
      </x:c>
      <x:c r="N22" s="81" t="str">
        <x:v>Notti_Fugaci_Social_Pack/03_CAROUSELS/CH02/CH02_01.jpg
Notti_Fugaci_Social_Pack/03_CAROUSELS/CH02/CH02_02.jpg
Notti_Fugaci_Social_Pack/03_CAROUSELS/CH02/CH02_03.jpg</x:v>
      </x:c>
      <x:c r="O22" s="81" t="str">
        <x:v>Ordine obbligatorio: 01 → 02 → 03</x:v>
      </x:c>
      <x:c r="P22" s="81" t="str">
        <x:f>'TESTI'!F4</x:f>
        <x:v>Parigi gli aveva dato una stanza, una pioggia leggera e una possibilità: smettere di trattenersi.
Con Amélie non ci furono promesse inutili. Solo il tempo tra due respiri, una carbonara all'alba e una porta attraversata per la prima volta.
Il secondo capitolo di Notti Fugaci racconta quando il corpo smette di essere una gabbia e diventa finalmente presenza.
Continua la storia dal link nel profilo. Disponibile in cartaceo e Kindle.
🌐 https://diaridipelle.it/notti-fugaci.html
📕 Cartaceo: https://www.amazon.it/dp/B0GRWP3X7C
📱 Kindle: https://www.amazon.it/dp/B0GRWP6PMK
#DiariDiPelle #NottiFugaci #Parigi #NarrativaContemporanea #LibriItaliani</x:v>
      </x:c>
      <x:c r="Q22" s="81" t="str">
        <x:f>'TESTI'!J4</x:f>
        <x:v>https://diaridipelle.it/notti-fugaci.html</x:v>
      </x:c>
      <x:c r="R22" s="81" t="str">
        <x:v>Meta Business Suite</x:v>
      </x:c>
      <x:c r="S22" s="117" t="str">
        <x:v>Programmabile</x:v>
      </x:c>
      <x:c r="T22" s="117" t="str">
        <x:v>Da fare</x:v>
      </x:c>
      <x:c r="U22" s="81" t="str">
        <x:v>Controlla ordine delle immagini e collegamenti nella caption.</x:v>
      </x:c>
      <x:c r="V22" s="81" t="str">
        <x:f>IF(AND(E22&lt;TODAY(),T22&lt;&gt;"Pubblicato"),"SÌ","")</x:f>
      </x:c>
    </x:row>
    <x:row r="23" ht="78" customHeight="1">
      <x:c r="A23" s="117" t="str">
        <x:v>T022</x:v>
      </x:c>
      <x:c r="B23" s="117" t="n">
        <x:v>2</x:v>
      </x:c>
      <x:c r="C23" s="118" t="n">
        <x:f>'CAMPAGNE'!F5</x:f>
        <x:v>46236</x:v>
      </x:c>
      <x:c r="D23" s="119" t="n">
        <x:v>0.75</x:v>
      </x:c>
      <x:c r="E23" s="120" t="n">
        <x:f>'CAMPAGNE'!H5</x:f>
        <x:v>46248</x:v>
      </x:c>
      <x:c r="F23" s="117" t="str">
        <x:f>CHOOSE(WEEKDAY(E23,2),"Lunedì","Martedì","Mercoledì","Giovedì","Venerdì","Sabato","Domenica")</x:f>
        <x:v>Venerdì</x:v>
      </x:c>
      <x:c r="G23" s="119" t="n">
        <x:v>0.8333333333333334</x:v>
      </x:c>
      <x:c r="H23" s="117" t="str">
        <x:v>Instagram</x:v>
      </x:c>
      <x:c r="I23" s="117" t="str">
        <x:v>Reel</x:v>
      </x:c>
      <x:c r="J23" s="81" t="str">
        <x:v>Notti Fugaci</x:v>
      </x:c>
      <x:c r="K23" s="117" t="str">
        <x:v>CH03</x:v>
      </x:c>
      <x:c r="L23" s="81" t="str">
        <x:v>Malena</x:v>
      </x:c>
      <x:c r="M23" s="81" t="str">
        <x:v>Carica il video, imposta la copertina, incolla la caption e programma.</x:v>
      </x:c>
      <x:c r="N23" s="81" t="str">
        <x:v>Notti_Fugaci_Social_Pack/01_REELS/CH03_reel.mp4</x:v>
      </x:c>
      <x:c r="O23" s="81" t="str">
        <x:v>Notti_Fugaci_Social_Pack/02_REEL_COVERS/CH03_cover.jpg</x:v>
      </x:c>
      <x:c r="P23" s="81" t="str">
        <x:f>'TESTI'!E5</x:f>
        <x:v>Malena non fu la più importante. Fu la prima a lasciare una cicatrice vera.
A Parigi arrivò come una sfida: bellissima, distante, impossibile da ignorare. Ma alcune ossessioni non raccontano chi desideriamo. Raccontano la parte di noi che vuole bruciarsi.
Il terzo capitolo di Notti Fugaci parla della ferita che resta quando cade la storia che avevamo costruito su noi stessi.
Scopri il libro completo dal link nel profilo.
#DiariDiPelle #NottiFugaci #Cicatrici #NarrativaPsicologica #LibriDaLeggere</x:v>
      </x:c>
      <x:c r="Q23" s="81" t="str">
        <x:f>'TESTI'!J5</x:f>
        <x:v>https://diaridipelle.it/notti-fugaci.html</x:v>
      </x:c>
      <x:c r="R23" s="81" t="str">
        <x:v>App Instagram</x:v>
      </x:c>
      <x:c r="S23" s="117" t="str">
        <x:v>Programmabile</x:v>
      </x:c>
      <x:c r="T23" s="117" t="str">
        <x:v>Da fare</x:v>
      </x:c>
      <x:c r="U23" s="81" t="str">
        <x:v>Controlla audio, ritaglio 9:16 e anteprima copertina. Il link è nel profilo.</x:v>
      </x:c>
      <x:c r="V23" s="81" t="str">
        <x:f>IF(AND(E23&lt;TODAY(),T23&lt;&gt;"Pubblicato"),"SÌ","")</x:f>
      </x:c>
    </x:row>
    <x:row r="24" ht="78" customHeight="1">
      <x:c r="A24" s="117" t="str">
        <x:v>T023</x:v>
      </x:c>
      <x:c r="B24" s="117" t="n">
        <x:v>2</x:v>
      </x:c>
      <x:c r="C24" s="118" t="n">
        <x:f>'CAMPAGNE'!F5</x:f>
        <x:v>46236</x:v>
      </x:c>
      <x:c r="D24" s="119" t="n">
        <x:v>0.75</x:v>
      </x:c>
      <x:c r="E24" s="120" t="n">
        <x:f>'CAMPAGNE'!H5</x:f>
        <x:v>46248</x:v>
      </x:c>
      <x:c r="F24" s="117" t="str">
        <x:f>CHOOSE(WEEKDAY(E24,2),"Lunedì","Martedì","Mercoledì","Giovedì","Venerdì","Sabato","Domenica")</x:f>
        <x:v>Venerdì</x:v>
      </x:c>
      <x:c r="G24" s="119" t="n">
        <x:v>0.8333333333333334</x:v>
      </x:c>
      <x:c r="H24" s="117" t="str">
        <x:v>Facebook</x:v>
      </x:c>
      <x:c r="I24" s="117" t="str">
        <x:v>Reel</x:v>
      </x:c>
      <x:c r="J24" s="81" t="str">
        <x:v>Notti Fugaci</x:v>
      </x:c>
      <x:c r="K24" s="117" t="str">
        <x:v>CH03</x:v>
      </x:c>
      <x:c r="L24" s="81" t="str">
        <x:v>Malena</x:v>
      </x:c>
      <x:c r="M24" s="81" t="str">
        <x:v>Crea un Reel nella Pagina, carica video e copertina, incolla la caption e programma.</x:v>
      </x:c>
      <x:c r="N24" s="81" t="str">
        <x:v>Notti_Fugaci_Social_Pack/01_REELS/CH03_reel.mp4</x:v>
      </x:c>
      <x:c r="O24" s="81" t="str">
        <x:v>Notti_Fugaci_Social_Pack/02_REEL_COVERS/CH03_cover.jpg</x:v>
      </x:c>
      <x:c r="P24" s="81" t="str">
        <x:f>'TESTI'!F5</x:f>
        <x:v>Malena non fu la più importante. Fu la prima a lasciare una cicatrice vera.
A Parigi arrivò come una sfida: bellissima, distante, impossibile da ignorare. Ma alcune ossessioni non raccontano chi desideriamo. Raccontano la parte di noi che vuole bruciarsi.
Il terzo capitolo di Notti Fugaci parla della ferita che resta quando cade la storia che avevamo costruito su noi stessi.
Scopri il libro completo dal link nel profilo.
🌐 https://diaridipelle.it/notti-fugaci.html
📕 Cartaceo: https://www.amazon.it/dp/B0GRWP3X7C
📱 Kindle: https://www.amazon.it/dp/B0GRWP6PMK
#DiariDiPelle #NottiFugaci #Cicatrici #NarrativaPsicologica #LibriDaLeggere</x:v>
      </x:c>
      <x:c r="Q24" s="81" t="str">
        <x:f>'TESTI'!J5</x:f>
        <x:v>https://diaridipelle.it/notti-fugaci.html</x:v>
      </x:c>
      <x:c r="R24" s="81" t="str">
        <x:v>Meta Business Suite</x:v>
      </x:c>
      <x:c r="S24" s="117" t="str">
        <x:v>Programmabile</x:v>
      </x:c>
      <x:c r="T24" s="117" t="str">
        <x:v>Da fare</x:v>
      </x:c>
      <x:c r="U24" s="81" t="str">
        <x:v>Pubblica sulla Pagina Facebook. I collegamenti nella caption sono cliccabili.</x:v>
      </x:c>
      <x:c r="V24" s="81" t="str">
        <x:f>IF(AND(E24&lt;TODAY(),T24&lt;&gt;"Pubblicato"),"SÌ","")</x:f>
      </x:c>
    </x:row>
    <x:row r="25" ht="78" customHeight="1">
      <x:c r="A25" s="117" t="str">
        <x:v>T024</x:v>
      </x:c>
      <x:c r="B25" s="117" t="n">
        <x:v>2</x:v>
      </x:c>
      <x:c r="C25" s="118" t="n">
        <x:f>'CAMPAGNE'!G5</x:f>
        <x:v>46243</x:v>
      </x:c>
      <x:c r="D25" s="119" t="n">
        <x:v>0.75</x:v>
      </x:c>
      <x:c r="E25" s="120" t="n">
        <x:f>'CAMPAGNE'!H5</x:f>
        <x:v>46248</x:v>
      </x:c>
      <x:c r="F25" s="117" t="str">
        <x:f>CHOOSE(WEEKDAY(E25,2),"Lunedì","Martedì","Mercoledì","Giovedì","Venerdì","Sabato","Domenica")</x:f>
        <x:v>Venerdì</x:v>
      </x:c>
      <x:c r="G25" s="119" t="n">
        <x:v>0.8333333333333334</x:v>
      </x:c>
      <x:c r="H25" s="117" t="str">
        <x:v>TikTok</x:v>
      </x:c>
      <x:c r="I25" s="117" t="str">
        <x:v>Video</x:v>
      </x:c>
      <x:c r="J25" s="81" t="str">
        <x:v>Notti Fugaci</x:v>
      </x:c>
      <x:c r="K25" s="117" t="str">
        <x:v>CH03</x:v>
      </x:c>
      <x:c r="L25" s="81" t="str">
        <x:v>Malena</x:v>
      </x:c>
      <x:c r="M25" s="81" t="str">
        <x:v>Carica il video in TikTok Studio, scegli la copertina, incolla la caption breve e programma.</x:v>
      </x:c>
      <x:c r="N25" s="81" t="str">
        <x:v>Notti_Fugaci_Social_Pack/01_REELS/CH03_reel.mp4</x:v>
      </x:c>
      <x:c r="O25" s="81" t="str">
        <x:v>Notti_Fugaci_Social_Pack/02_REEL_COVERS/CH03_cover.jpg</x:v>
      </x:c>
      <x:c r="P25" s="81" t="str">
        <x:f>'TESTI'!G5</x:f>
        <x:v>Malena non fu la più importante. Fu la prima a lasciare una cicatrice vera.
«Malena» da Notti Fugaci.
Scopri il libro dal link in bio.
#DiariDiPelle #NottiFugaci #BookTokItalia #LibriTikTok</x:v>
      </x:c>
      <x:c r="Q25" s="81" t="str">
        <x:f>'TESTI'!J5</x:f>
        <x:v>https://diaridipelle.it/notti-fugaci.html</x:v>
      </x:c>
      <x:c r="R25" s="81" t="str">
        <x:v>TikTok Studio</x:v>
      </x:c>
      <x:c r="S25" s="117" t="str">
        <x:v>Programmabile entro 10 giorni</x:v>
      </x:c>
      <x:c r="T25" s="117" t="str">
        <x:v>Da fare</x:v>
      </x:c>
      <x:c r="U25" s="81" t="str">
        <x:v>Non aggiungere watermark. Controlla anteprima verticale e audio.</x:v>
      </x:c>
      <x:c r="V25" s="81" t="str">
        <x:f>IF(AND(E25&lt;TODAY(),T25&lt;&gt;"Pubblicato"),"SÌ","")</x:f>
      </x:c>
    </x:row>
    <x:row r="26" ht="78" customHeight="1">
      <x:c r="A26" s="117" t="str">
        <x:v>T025</x:v>
      </x:c>
      <x:c r="B26" s="117" t="n">
        <x:v>2</x:v>
      </x:c>
      <x:c r="C26" s="118" t="n">
        <x:f>'CAMPAGNE'!I5</x:f>
        <x:v>46249</x:v>
      </x:c>
      <x:c r="D26" s="119" t="n">
        <x:v>0.4965277777777778</x:v>
      </x:c>
      <x:c r="E26" s="120" t="n">
        <x:f>'CAMPAGNE'!I5</x:f>
        <x:v>46249</x:v>
      </x:c>
      <x:c r="F26" s="117" t="str">
        <x:f>CHOOSE(WEEKDAY(E26,2),"Lunedì","Martedì","Mercoledì","Giovedì","Venerdì","Sabato","Domenica")</x:f>
        <x:v>Sabato</x:v>
      </x:c>
      <x:c r="G26" s="119" t="n">
        <x:v>0.5</x:v>
      </x:c>
      <x:c r="H26" s="117" t="str">
        <x:v>Instagram</x:v>
      </x:c>
      <x:c r="I26" s="117" t="str">
        <x:v>Storia</x:v>
      </x:c>
      <x:c r="J26" s="81" t="str">
        <x:v>Notti Fugaci</x:v>
      </x:c>
      <x:c r="K26" s="117" t="str">
        <x:v>CH03</x:v>
      </x:c>
      <x:c r="L26" s="81" t="str">
        <x:v>Malena</x:v>
      </x:c>
      <x:c r="M26" s="81" t="str">
        <x:v>Carica l'immagine, aggiungi l'adesivo Link e pubblica.</x:v>
      </x:c>
      <x:c r="N26" s="81" t="str">
        <x:v>Notti_Fugaci_Social_Pack/04_STORIES/CH03_story.jpg</x:v>
      </x:c>
      <x:c r="O26" s="81" t="str">
        <x:v>Notti_Fugaci_Social_Pack/05_CAPTIONS/CH03_story_link.txt</x:v>
      </x:c>
      <x:c r="P26" s="81" t="str">
        <x:f>'TESTI'!N5</x:f>
        <x:v>Tocca SCOPRI IL LIBRO e scegli cartaceo o Kindle.</x:v>
      </x:c>
      <x:c r="Q26" s="81" t="str">
        <x:f>'TESTI'!H5</x:f>
        <x:v>https://diaridipelle.it/notti-fugaci.html?utm_source=instagram&amp;utm_medium=story&amp;utm_campaign=notti_fugaci&amp;utm_content=ch03</x:v>
      </x:c>
      <x:c r="R26" s="81" t="str">
        <x:v>App Instagram</x:v>
      </x:c>
      <x:c r="S26" s="117" t="str">
        <x:v>Manuale</x:v>
      </x:c>
      <x:c r="T26" s="117" t="str">
        <x:v>Da fare</x:v>
      </x:c>
      <x:c r="U26" s="81" t="str">
        <x:v>La data lavoro è lo stesso giorno, 5 minuti prima. Testo adesivo: SCOPRI IL LIBRO.</x:v>
      </x:c>
      <x:c r="V26" s="81" t="str">
        <x:f>IF(AND(E26&lt;TODAY(),T26&lt;&gt;"Pubblicato"),"SÌ","")</x:f>
      </x:c>
    </x:row>
    <x:row r="27" ht="78" customHeight="1">
      <x:c r="A27" s="117" t="str">
        <x:v>T026</x:v>
      </x:c>
      <x:c r="B27" s="117" t="n">
        <x:v>2</x:v>
      </x:c>
      <x:c r="C27" s="118" t="n">
        <x:f>'CAMPAGNE'!F5</x:f>
        <x:v>46236</x:v>
      </x:c>
      <x:c r="D27" s="119" t="n">
        <x:v>0.75</x:v>
      </x:c>
      <x:c r="E27" s="120" t="n">
        <x:f>'CAMPAGNE'!I5</x:f>
        <x:v>46249</x:v>
      </x:c>
      <x:c r="F27" s="117" t="str">
        <x:f>CHOOSE(WEEKDAY(E27,2),"Lunedì","Martedì","Mercoledì","Giovedì","Venerdì","Sabato","Domenica")</x:f>
        <x:v>Sabato</x:v>
      </x:c>
      <x:c r="G27" s="119" t="n">
        <x:v>0.5</x:v>
      </x:c>
      <x:c r="H27" s="117" t="str">
        <x:v>Facebook</x:v>
      </x:c>
      <x:c r="I27" s="117" t="str">
        <x:v>Storia</x:v>
      </x:c>
      <x:c r="J27" s="81" t="str">
        <x:v>Notti Fugaci</x:v>
      </x:c>
      <x:c r="K27" s="117" t="str">
        <x:v>CH03</x:v>
      </x:c>
      <x:c r="L27" s="81" t="str">
        <x:v>Malena</x:v>
      </x:c>
      <x:c r="M27" s="81" t="str">
        <x:v>Crea una Storia della Pagina, carica l'immagine, aggiungi il link e programma.</x:v>
      </x:c>
      <x:c r="N27" s="81" t="str">
        <x:v>Notti_Fugaci_Social_Pack/04_STORIES/CH03_story.jpg</x:v>
      </x:c>
      <x:c r="O27" s="81" t="str">
        <x:v>Notti_Fugaci_Social_Pack/05_CAPTIONS/CH03_story_link.txt</x:v>
      </x:c>
      <x:c r="P27" s="81" t="str">
        <x:f>'TESTI'!N5</x:f>
        <x:v>Tocca SCOPRI IL LIBRO e scegli cartaceo o Kindle.</x:v>
      </x:c>
      <x:c r="Q27" s="81" t="str">
        <x:f>'TESTI'!I5</x:f>
        <x:v>https://diaridipelle.it/notti-fugaci.html?utm_source=facebook&amp;utm_medium=story&amp;utm_campaign=notti_fugaci&amp;utm_content=ch03</x:v>
      </x:c>
      <x:c r="R27" s="81" t="str">
        <x:v>Meta Business Suite</x:v>
      </x:c>
      <x:c r="S27" s="117" t="str">
        <x:v>Programmabile</x:v>
      </x:c>
      <x:c r="T27" s="117" t="str">
        <x:v>Da fare</x:v>
      </x:c>
      <x:c r="U27" s="81" t="str">
        <x:v>Controlla che la destinazione sia la Pagina Facebook.</x:v>
      </x:c>
      <x:c r="V27" s="81" t="str">
        <x:f>IF(AND(E27&lt;TODAY(),T27&lt;&gt;"Pubblicato"),"SÌ","")</x:f>
      </x:c>
    </x:row>
    <x:row r="28" ht="78" customHeight="1">
      <x:c r="A28" s="117" t="str">
        <x:v>T027</x:v>
      </x:c>
      <x:c r="B28" s="117" t="n">
        <x:v>2</x:v>
      </x:c>
      <x:c r="C28" s="118" t="n">
        <x:f>'CAMPAGNE'!F5</x:f>
        <x:v>46236</x:v>
      </x:c>
      <x:c r="D28" s="119" t="n">
        <x:v>0.75</x:v>
      </x:c>
      <x:c r="E28" s="120" t="n">
        <x:f>'CAMPAGNE'!J5</x:f>
        <x:v>46250</x:v>
      </x:c>
      <x:c r="F28" s="117" t="str">
        <x:f>CHOOSE(WEEKDAY(E28,2),"Lunedì","Martedì","Mercoledì","Giovedì","Venerdì","Sabato","Domenica")</x:f>
        <x:v>Domenica</x:v>
      </x:c>
      <x:c r="G28" s="119" t="n">
        <x:v>0.4583333333333333</x:v>
      </x:c>
      <x:c r="H28" s="117" t="str">
        <x:v>Instagram</x:v>
      </x:c>
      <x:c r="I28" s="117" t="str">
        <x:v>Carosello</x:v>
      </x:c>
      <x:c r="J28" s="81" t="str">
        <x:v>Notti Fugaci</x:v>
      </x:c>
      <x:c r="K28" s="117" t="str">
        <x:v>CH03</x:v>
      </x:c>
      <x:c r="L28" s="81" t="str">
        <x:v>Malena</x:v>
      </x:c>
      <x:c r="M28" s="81" t="str">
        <x:v>Carica le tre immagini nell'ordine 01, 02, 03; incolla la caption e programma.</x:v>
      </x:c>
      <x:c r="N28" s="81" t="str">
        <x:v>Notti_Fugaci_Social_Pack/03_CAROUSELS/CH03/CH03_01.jpg
Notti_Fugaci_Social_Pack/03_CAROUSELS/CH03/CH03_02.jpg
Notti_Fugaci_Social_Pack/03_CAROUSELS/CH03/CH03_03.jpg</x:v>
      </x:c>
      <x:c r="O28" s="81" t="str">
        <x:v>Ordine obbligatorio: 01 → 02 → 03</x:v>
      </x:c>
      <x:c r="P28" s="81" t="str">
        <x:f>'TESTI'!E5</x:f>
        <x:v>Malena non fu la più importante. Fu la prima a lasciare una cicatrice vera.
A Parigi arrivò come una sfida: bellissima, distante, impossibile da ignorare. Ma alcune ossessioni non raccontano chi desideriamo. Raccontano la parte di noi che vuole bruciarsi.
Il terzo capitolo di Notti Fugaci parla della ferita che resta quando cade la storia che avevamo costruito su noi stessi.
Scopri il libro completo dal link nel profilo.
#DiariDiPelle #NottiFugaci #Cicatrici #NarrativaPsicologica #LibriDaLeggere</x:v>
      </x:c>
      <x:c r="Q28" s="81" t="str">
        <x:f>'TESTI'!J5</x:f>
        <x:v>https://diaridipelle.it/notti-fugaci.html</x:v>
      </x:c>
      <x:c r="R28" s="81" t="str">
        <x:v>App Instagram</x:v>
      </x:c>
      <x:c r="S28" s="117" t="str">
        <x:v>Programmabile</x:v>
      </x:c>
      <x:c r="T28" s="117" t="str">
        <x:v>Da fare</x:v>
      </x:c>
      <x:c r="U28" s="81" t="str">
        <x:v>Verifica che nessuna slide sia tagliata. Il link è nel profilo.</x:v>
      </x:c>
      <x:c r="V28" s="81" t="str">
        <x:f>IF(AND(E28&lt;TODAY(),T28&lt;&gt;"Pubblicato"),"SÌ","")</x:f>
      </x:c>
    </x:row>
    <x:row r="29" ht="78" customHeight="1">
      <x:c r="A29" s="117" t="str">
        <x:v>T028</x:v>
      </x:c>
      <x:c r="B29" s="117" t="n">
        <x:v>2</x:v>
      </x:c>
      <x:c r="C29" s="118" t="n">
        <x:f>'CAMPAGNE'!F5</x:f>
        <x:v>46236</x:v>
      </x:c>
      <x:c r="D29" s="119" t="n">
        <x:v>0.75</x:v>
      </x:c>
      <x:c r="E29" s="120" t="n">
        <x:f>'CAMPAGNE'!J5</x:f>
        <x:v>46250</x:v>
      </x:c>
      <x:c r="F29" s="117" t="str">
        <x:f>CHOOSE(WEEKDAY(E29,2),"Lunedì","Martedì","Mercoledì","Giovedì","Venerdì","Sabato","Domenica")</x:f>
        <x:v>Domenica</x:v>
      </x:c>
      <x:c r="G29" s="119" t="n">
        <x:v>0.4583333333333333</x:v>
      </x:c>
      <x:c r="H29" s="117" t="str">
        <x:v>Facebook</x:v>
      </x:c>
      <x:c r="I29" s="117" t="str">
        <x:v>Carosello</x:v>
      </x:c>
      <x:c r="J29" s="81" t="str">
        <x:v>Notti Fugaci</x:v>
      </x:c>
      <x:c r="K29" s="117" t="str">
        <x:v>CH03</x:v>
      </x:c>
      <x:c r="L29" s="81" t="str">
        <x:v>Malena</x:v>
      </x:c>
      <x:c r="M29" s="81" t="str">
        <x:v>Carica le tre immagini nell'ordine 01, 02, 03; incolla la caption e programma.</x:v>
      </x:c>
      <x:c r="N29" s="81" t="str">
        <x:v>Notti_Fugaci_Social_Pack/03_CAROUSELS/CH03/CH03_01.jpg
Notti_Fugaci_Social_Pack/03_CAROUSELS/CH03/CH03_02.jpg
Notti_Fugaci_Social_Pack/03_CAROUSELS/CH03/CH03_03.jpg</x:v>
      </x:c>
      <x:c r="O29" s="81" t="str">
        <x:v>Ordine obbligatorio: 01 → 02 → 03</x:v>
      </x:c>
      <x:c r="P29" s="81" t="str">
        <x:f>'TESTI'!F5</x:f>
        <x:v>Malena non fu la più importante. Fu la prima a lasciare una cicatrice vera.
A Parigi arrivò come una sfida: bellissima, distante, impossibile da ignorare. Ma alcune ossessioni non raccontano chi desideriamo. Raccontano la parte di noi che vuole bruciarsi.
Il terzo capitolo di Notti Fugaci parla della ferita che resta quando cade la storia che avevamo costruito su noi stessi.
Scopri il libro completo dal link nel profilo.
🌐 https://diaridipelle.it/notti-fugaci.html
📕 Cartaceo: https://www.amazon.it/dp/B0GRWP3X7C
📱 Kindle: https://www.amazon.it/dp/B0GRWP6PMK
#DiariDiPelle #NottiFugaci #Cicatrici #NarrativaPsicologica #LibriDaLeggere</x:v>
      </x:c>
      <x:c r="Q29" s="81" t="str">
        <x:f>'TESTI'!J5</x:f>
        <x:v>https://diaridipelle.it/notti-fugaci.html</x:v>
      </x:c>
      <x:c r="R29" s="81" t="str">
        <x:v>Meta Business Suite</x:v>
      </x:c>
      <x:c r="S29" s="117" t="str">
        <x:v>Programmabile</x:v>
      </x:c>
      <x:c r="T29" s="117" t="str">
        <x:v>Da fare</x:v>
      </x:c>
      <x:c r="U29" s="81" t="str">
        <x:v>Controlla ordine delle immagini e collegamenti nella caption.</x:v>
      </x:c>
      <x:c r="V29" s="81" t="str">
        <x:f>IF(AND(E29&lt;TODAY(),T29&lt;&gt;"Pubblicato"),"SÌ","")</x:f>
      </x:c>
    </x:row>
    <x:row r="30" ht="78" customHeight="1">
      <x:c r="A30" s="117" t="str">
        <x:v>T029</x:v>
      </x:c>
      <x:c r="B30" s="117" t="n">
        <x:v>3</x:v>
      </x:c>
      <x:c r="C30" s="118" t="n">
        <x:f>'CAMPAGNE'!F6</x:f>
        <x:v>46236</x:v>
      </x:c>
      <x:c r="D30" s="119" t="n">
        <x:v>0.75</x:v>
      </x:c>
      <x:c r="E30" s="120" t="n">
        <x:f>'CAMPAGNE'!H6</x:f>
        <x:v>46252</x:v>
      </x:c>
      <x:c r="F30" s="117" t="str">
        <x:f>CHOOSE(WEEKDAY(E30,2),"Lunedì","Martedì","Mercoledì","Giovedì","Venerdì","Sabato","Domenica")</x:f>
        <x:v>Martedì</x:v>
      </x:c>
      <x:c r="G30" s="119" t="n">
        <x:v>0.8333333333333334</x:v>
      </x:c>
      <x:c r="H30" s="117" t="str">
        <x:v>Instagram</x:v>
      </x:c>
      <x:c r="I30" s="117" t="str">
        <x:v>Reel</x:v>
      </x:c>
      <x:c r="J30" s="81" t="str">
        <x:v>Notti Fugaci</x:v>
      </x:c>
      <x:c r="K30" s="117" t="str">
        <x:v>CH04</x:v>
      </x:c>
      <x:c r="L30" s="81" t="str">
        <x:v>L'Irlandese</x:v>
      </x:c>
      <x:c r="M30" s="81" t="str">
        <x:v>Carica il video, imposta la copertina, incolla la caption e programma.</x:v>
      </x:c>
      <x:c r="N30" s="81" t="str">
        <x:v>Notti_Fugaci_Social_Pack/01_REELS/CH04_reel.mp4</x:v>
      </x:c>
      <x:c r="O30" s="81" t="str">
        <x:v>Notti_Fugaci_Social_Pack/02_REEL_COVERS/CH04_cover.jpg</x:v>
      </x:c>
      <x:c r="P30" s="81" t="str">
        <x:f>'TESTI'!E6</x:f>
        <x:v>Dopo Malena, Parigi si era ristretta. Barcellona, invece, sembrava non avere pareti.
Nel dedalo del Barrio Gótico, una sconosciuta e una notte senza tenerezza diventano uno specchio: non più il bravo ragazzo, non più il martire ferito, ma qualcuno che deve ancora capire chi è diventato.
«L'Irlandese» è il primo giorno di una settimana che non sarà turismo.
Entra nel mondo di Notti Fugaci dal link nel profilo.
#DiariDiPelle #NottiFugaci #Barcellona #NarrativaItaliana #StorieDiViaggio</x:v>
      </x:c>
      <x:c r="Q30" s="81" t="str">
        <x:f>'TESTI'!J6</x:f>
        <x:v>https://diaridipelle.it/notti-fugaci.html</x:v>
      </x:c>
      <x:c r="R30" s="81" t="str">
        <x:v>App Instagram</x:v>
      </x:c>
      <x:c r="S30" s="117" t="str">
        <x:v>Programmabile</x:v>
      </x:c>
      <x:c r="T30" s="117" t="str">
        <x:v>Da fare</x:v>
      </x:c>
      <x:c r="U30" s="81" t="str">
        <x:v>Controlla audio, ritaglio 9:16 e anteprima copertina. Il link è nel profilo.</x:v>
      </x:c>
      <x:c r="V30" s="81" t="str">
        <x:f>IF(AND(E30&lt;TODAY(),T30&lt;&gt;"Pubblicato"),"SÌ","")</x:f>
      </x:c>
    </x:row>
    <x:row r="31" ht="78" customHeight="1">
      <x:c r="A31" s="117" t="str">
        <x:v>T030</x:v>
      </x:c>
      <x:c r="B31" s="117" t="n">
        <x:v>3</x:v>
      </x:c>
      <x:c r="C31" s="118" t="n">
        <x:f>'CAMPAGNE'!F6</x:f>
        <x:v>46236</x:v>
      </x:c>
      <x:c r="D31" s="119" t="n">
        <x:v>0.75</x:v>
      </x:c>
      <x:c r="E31" s="120" t="n">
        <x:f>'CAMPAGNE'!H6</x:f>
        <x:v>46252</x:v>
      </x:c>
      <x:c r="F31" s="117" t="str">
        <x:f>CHOOSE(WEEKDAY(E31,2),"Lunedì","Martedì","Mercoledì","Giovedì","Venerdì","Sabato","Domenica")</x:f>
        <x:v>Martedì</x:v>
      </x:c>
      <x:c r="G31" s="119" t="n">
        <x:v>0.8333333333333334</x:v>
      </x:c>
      <x:c r="H31" s="117" t="str">
        <x:v>Facebook</x:v>
      </x:c>
      <x:c r="I31" s="117" t="str">
        <x:v>Reel</x:v>
      </x:c>
      <x:c r="J31" s="81" t="str">
        <x:v>Notti Fugaci</x:v>
      </x:c>
      <x:c r="K31" s="117" t="str">
        <x:v>CH04</x:v>
      </x:c>
      <x:c r="L31" s="81" t="str">
        <x:v>L'Irlandese</x:v>
      </x:c>
      <x:c r="M31" s="81" t="str">
        <x:v>Crea un Reel nella Pagina, carica video e copertina, incolla la caption e programma.</x:v>
      </x:c>
      <x:c r="N31" s="81" t="str">
        <x:v>Notti_Fugaci_Social_Pack/01_REELS/CH04_reel.mp4</x:v>
      </x:c>
      <x:c r="O31" s="81" t="str">
        <x:v>Notti_Fugaci_Social_Pack/02_REEL_COVERS/CH04_cover.jpg</x:v>
      </x:c>
      <x:c r="P31" s="81" t="str">
        <x:f>'TESTI'!F6</x:f>
        <x:v>Dopo Malena, Parigi si era ristretta. Barcellona, invece, sembrava non avere pareti.
Nel dedalo del Barrio Gótico, una sconosciuta e una notte senza tenerezza diventano uno specchio: non più il bravo ragazzo, non più il martire ferito, ma qualcuno che deve ancora capire chi è diventato.
«L'Irlandese» è il primo giorno di una settimana che non sarà turismo.
Entra nel mondo di Notti Fugaci dal link nel profilo.
🌐 https://diaridipelle.it/notti-fugaci.html
📕 Cartaceo: https://www.amazon.it/dp/B0GRWP3X7C
📱 Kindle: https://www.amazon.it/dp/B0GRWP6PMK
#DiariDiPelle #NottiFugaci #Barcellona #NarrativaItaliana #StorieDiViaggio</x:v>
      </x:c>
      <x:c r="Q31" s="81" t="str">
        <x:f>'TESTI'!J6</x:f>
        <x:v>https://diaridipelle.it/notti-fugaci.html</x:v>
      </x:c>
      <x:c r="R31" s="81" t="str">
        <x:v>Meta Business Suite</x:v>
      </x:c>
      <x:c r="S31" s="117" t="str">
        <x:v>Programmabile</x:v>
      </x:c>
      <x:c r="T31" s="117" t="str">
        <x:v>Da fare</x:v>
      </x:c>
      <x:c r="U31" s="81" t="str">
        <x:v>Pubblica sulla Pagina Facebook. I collegamenti nella caption sono cliccabili.</x:v>
      </x:c>
      <x:c r="V31" s="81" t="str">
        <x:f>IF(AND(E31&lt;TODAY(),T31&lt;&gt;"Pubblicato"),"SÌ","")</x:f>
      </x:c>
    </x:row>
    <x:row r="32" ht="78" customHeight="1">
      <x:c r="A32" s="117" t="str">
        <x:v>T031</x:v>
      </x:c>
      <x:c r="B32" s="117" t="n">
        <x:v>3</x:v>
      </x:c>
      <x:c r="C32" s="118" t="n">
        <x:f>'CAMPAGNE'!G6</x:f>
        <x:v>46250</x:v>
      </x:c>
      <x:c r="D32" s="119" t="n">
        <x:v>0.75</x:v>
      </x:c>
      <x:c r="E32" s="120" t="n">
        <x:f>'CAMPAGNE'!H6</x:f>
        <x:v>46252</x:v>
      </x:c>
      <x:c r="F32" s="117" t="str">
        <x:f>CHOOSE(WEEKDAY(E32,2),"Lunedì","Martedì","Mercoledì","Giovedì","Venerdì","Sabato","Domenica")</x:f>
        <x:v>Martedì</x:v>
      </x:c>
      <x:c r="G32" s="119" t="n">
        <x:v>0.8333333333333334</x:v>
      </x:c>
      <x:c r="H32" s="117" t="str">
        <x:v>TikTok</x:v>
      </x:c>
      <x:c r="I32" s="117" t="str">
        <x:v>Video</x:v>
      </x:c>
      <x:c r="J32" s="81" t="str">
        <x:v>Notti Fugaci</x:v>
      </x:c>
      <x:c r="K32" s="117" t="str">
        <x:v>CH04</x:v>
      </x:c>
      <x:c r="L32" s="81" t="str">
        <x:v>L'Irlandese</x:v>
      </x:c>
      <x:c r="M32" s="81" t="str">
        <x:v>Carica il video in TikTok Studio, scegli la copertina, incolla la caption breve e programma.</x:v>
      </x:c>
      <x:c r="N32" s="81" t="str">
        <x:v>Notti_Fugaci_Social_Pack/01_REELS/CH04_reel.mp4</x:v>
      </x:c>
      <x:c r="O32" s="81" t="str">
        <x:v>Notti_Fugaci_Social_Pack/02_REEL_COVERS/CH04_cover.jpg</x:v>
      </x:c>
      <x:c r="P32" s="81" t="str">
        <x:f>'TESTI'!G6</x:f>
        <x:v>Dopo Malena, Parigi si era ristretta. Barcellona, invece, sembrava non avere pareti.
«L'Irlandese» da Notti Fugaci.
Scopri il libro dal link in bio.
#DiariDiPelle #NottiFugaci #BookTokItalia #LibriTikTok</x:v>
      </x:c>
      <x:c r="Q32" s="81" t="str">
        <x:f>'TESTI'!J6</x:f>
        <x:v>https://diaridipelle.it/notti-fugaci.html</x:v>
      </x:c>
      <x:c r="R32" s="81" t="str">
        <x:v>TikTok Studio</x:v>
      </x:c>
      <x:c r="S32" s="117" t="str">
        <x:v>Programmabile entro 10 giorni</x:v>
      </x:c>
      <x:c r="T32" s="117" t="str">
        <x:v>Da fare</x:v>
      </x:c>
      <x:c r="U32" s="81" t="str">
        <x:v>Non aggiungere watermark. Controlla anteprima verticale e audio.</x:v>
      </x:c>
      <x:c r="V32" s="81" t="str">
        <x:f>IF(AND(E32&lt;TODAY(),T32&lt;&gt;"Pubblicato"),"SÌ","")</x:f>
      </x:c>
    </x:row>
    <x:row r="33" ht="78" customHeight="1">
      <x:c r="A33" s="117" t="str">
        <x:v>T032</x:v>
      </x:c>
      <x:c r="B33" s="117" t="n">
        <x:v>3</x:v>
      </x:c>
      <x:c r="C33" s="118" t="n">
        <x:f>'CAMPAGNE'!I6</x:f>
        <x:v>46253</x:v>
      </x:c>
      <x:c r="D33" s="119" t="n">
        <x:v>0.4965277777777778</x:v>
      </x:c>
      <x:c r="E33" s="120" t="n">
        <x:f>'CAMPAGNE'!I6</x:f>
        <x:v>46253</x:v>
      </x:c>
      <x:c r="F33" s="117" t="str">
        <x:f>CHOOSE(WEEKDAY(E33,2),"Lunedì","Martedì","Mercoledì","Giovedì","Venerdì","Sabato","Domenica")</x:f>
        <x:v>Mercoledì</x:v>
      </x:c>
      <x:c r="G33" s="119" t="n">
        <x:v>0.5</x:v>
      </x:c>
      <x:c r="H33" s="117" t="str">
        <x:v>Instagram</x:v>
      </x:c>
      <x:c r="I33" s="117" t="str">
        <x:v>Storia</x:v>
      </x:c>
      <x:c r="J33" s="81" t="str">
        <x:v>Notti Fugaci</x:v>
      </x:c>
      <x:c r="K33" s="117" t="str">
        <x:v>CH04</x:v>
      </x:c>
      <x:c r="L33" s="81" t="str">
        <x:v>L'Irlandese</x:v>
      </x:c>
      <x:c r="M33" s="81" t="str">
        <x:v>Carica l'immagine, aggiungi l'adesivo Link e pubblica.</x:v>
      </x:c>
      <x:c r="N33" s="81" t="str">
        <x:v>Notti_Fugaci_Social_Pack/04_STORIES/CH04_story.jpg</x:v>
      </x:c>
      <x:c r="O33" s="81" t="str">
        <x:v>Notti_Fugaci_Social_Pack/05_CAPTIONS/CH04_story_link.txt</x:v>
      </x:c>
      <x:c r="P33" s="81" t="str">
        <x:f>'TESTI'!N6</x:f>
        <x:v>Tocca SCOPRI IL LIBRO e scegli cartaceo o Kindle.</x:v>
      </x:c>
      <x:c r="Q33" s="81" t="str">
        <x:f>'TESTI'!H6</x:f>
        <x:v>https://diaridipelle.it/notti-fugaci.html?utm_source=instagram&amp;utm_medium=story&amp;utm_campaign=notti_fugaci&amp;utm_content=ch04</x:v>
      </x:c>
      <x:c r="R33" s="81" t="str">
        <x:v>App Instagram</x:v>
      </x:c>
      <x:c r="S33" s="117" t="str">
        <x:v>Manuale</x:v>
      </x:c>
      <x:c r="T33" s="117" t="str">
        <x:v>Da fare</x:v>
      </x:c>
      <x:c r="U33" s="81" t="str">
        <x:v>La data lavoro è lo stesso giorno, 5 minuti prima. Testo adesivo: SCOPRI IL LIBRO.</x:v>
      </x:c>
      <x:c r="V33" s="81" t="str">
        <x:f>IF(AND(E33&lt;TODAY(),T33&lt;&gt;"Pubblicato"),"SÌ","")</x:f>
      </x:c>
    </x:row>
    <x:row r="34" ht="78" customHeight="1">
      <x:c r="A34" s="117" t="str">
        <x:v>T033</x:v>
      </x:c>
      <x:c r="B34" s="117" t="n">
        <x:v>3</x:v>
      </x:c>
      <x:c r="C34" s="118" t="n">
        <x:f>'CAMPAGNE'!F6</x:f>
        <x:v>46236</x:v>
      </x:c>
      <x:c r="D34" s="119" t="n">
        <x:v>0.75</x:v>
      </x:c>
      <x:c r="E34" s="120" t="n">
        <x:f>'CAMPAGNE'!I6</x:f>
        <x:v>46253</x:v>
      </x:c>
      <x:c r="F34" s="117" t="str">
        <x:f>CHOOSE(WEEKDAY(E34,2),"Lunedì","Martedì","Mercoledì","Giovedì","Venerdì","Sabato","Domenica")</x:f>
        <x:v>Mercoledì</x:v>
      </x:c>
      <x:c r="G34" s="119" t="n">
        <x:v>0.5</x:v>
      </x:c>
      <x:c r="H34" s="117" t="str">
        <x:v>Facebook</x:v>
      </x:c>
      <x:c r="I34" s="117" t="str">
        <x:v>Storia</x:v>
      </x:c>
      <x:c r="J34" s="81" t="str">
        <x:v>Notti Fugaci</x:v>
      </x:c>
      <x:c r="K34" s="117" t="str">
        <x:v>CH04</x:v>
      </x:c>
      <x:c r="L34" s="81" t="str">
        <x:v>L'Irlandese</x:v>
      </x:c>
      <x:c r="M34" s="81" t="str">
        <x:v>Crea una Storia della Pagina, carica l'immagine, aggiungi il link e programma.</x:v>
      </x:c>
      <x:c r="N34" s="81" t="str">
        <x:v>Notti_Fugaci_Social_Pack/04_STORIES/CH04_story.jpg</x:v>
      </x:c>
      <x:c r="O34" s="81" t="str">
        <x:v>Notti_Fugaci_Social_Pack/05_CAPTIONS/CH04_story_link.txt</x:v>
      </x:c>
      <x:c r="P34" s="81" t="str">
        <x:f>'TESTI'!N6</x:f>
        <x:v>Tocca SCOPRI IL LIBRO e scegli cartaceo o Kindle.</x:v>
      </x:c>
      <x:c r="Q34" s="81" t="str">
        <x:f>'TESTI'!I6</x:f>
        <x:v>https://diaridipelle.it/notti-fugaci.html?utm_source=facebook&amp;utm_medium=story&amp;utm_campaign=notti_fugaci&amp;utm_content=ch04</x:v>
      </x:c>
      <x:c r="R34" s="81" t="str">
        <x:v>Meta Business Suite</x:v>
      </x:c>
      <x:c r="S34" s="117" t="str">
        <x:v>Programmabile</x:v>
      </x:c>
      <x:c r="T34" s="117" t="str">
        <x:v>Da fare</x:v>
      </x:c>
      <x:c r="U34" s="81" t="str">
        <x:v>Controlla che la destinazione sia la Pagina Facebook.</x:v>
      </x:c>
      <x:c r="V34" s="81" t="str">
        <x:f>IF(AND(E34&lt;TODAY(),T34&lt;&gt;"Pubblicato"),"SÌ","")</x:f>
      </x:c>
    </x:row>
    <x:row r="35" ht="78" customHeight="1">
      <x:c r="A35" s="117" t="str">
        <x:v>T034</x:v>
      </x:c>
      <x:c r="B35" s="117" t="n">
        <x:v>3</x:v>
      </x:c>
      <x:c r="C35" s="118" t="n">
        <x:f>'CAMPAGNE'!F6</x:f>
        <x:v>46236</x:v>
      </x:c>
      <x:c r="D35" s="119" t="n">
        <x:v>0.75</x:v>
      </x:c>
      <x:c r="E35" s="120" t="n">
        <x:f>'CAMPAGNE'!J6</x:f>
        <x:v>46254</x:v>
      </x:c>
      <x:c r="F35" s="117" t="str">
        <x:f>CHOOSE(WEEKDAY(E35,2),"Lunedì","Martedì","Mercoledì","Giovedì","Venerdì","Sabato","Domenica")</x:f>
        <x:v>Giovedì</x:v>
      </x:c>
      <x:c r="G35" s="119" t="n">
        <x:v>0.8333333333333334</x:v>
      </x:c>
      <x:c r="H35" s="117" t="str">
        <x:v>Instagram</x:v>
      </x:c>
      <x:c r="I35" s="117" t="str">
        <x:v>Carosello</x:v>
      </x:c>
      <x:c r="J35" s="81" t="str">
        <x:v>Notti Fugaci</x:v>
      </x:c>
      <x:c r="K35" s="117" t="str">
        <x:v>CH04</x:v>
      </x:c>
      <x:c r="L35" s="81" t="str">
        <x:v>L'Irlandese</x:v>
      </x:c>
      <x:c r="M35" s="81" t="str">
        <x:v>Carica le tre immagini nell'ordine 01, 02, 03; incolla la caption e programma.</x:v>
      </x:c>
      <x:c r="N35" s="81" t="str">
        <x:v>Notti_Fugaci_Social_Pack/03_CAROUSELS/CH04/CH04_01.jpg
Notti_Fugaci_Social_Pack/03_CAROUSELS/CH04/CH04_02.jpg
Notti_Fugaci_Social_Pack/03_CAROUSELS/CH04/CH04_03.jpg</x:v>
      </x:c>
      <x:c r="O35" s="81" t="str">
        <x:v>Ordine obbligatorio: 01 → 02 → 03</x:v>
      </x:c>
      <x:c r="P35" s="81" t="str">
        <x:f>'TESTI'!E6</x:f>
        <x:v>Dopo Malena, Parigi si era ristretta. Barcellona, invece, sembrava non avere pareti.
Nel dedalo del Barrio Gótico, una sconosciuta e una notte senza tenerezza diventano uno specchio: non più il bravo ragazzo, non più il martire ferito, ma qualcuno che deve ancora capire chi è diventato.
«L'Irlandese» è il primo giorno di una settimana che non sarà turismo.
Entra nel mondo di Notti Fugaci dal link nel profilo.
#DiariDiPelle #NottiFugaci #Barcellona #NarrativaItaliana #StorieDiViaggio</x:v>
      </x:c>
      <x:c r="Q35" s="81" t="str">
        <x:f>'TESTI'!J6</x:f>
        <x:v>https://diaridipelle.it/notti-fugaci.html</x:v>
      </x:c>
      <x:c r="R35" s="81" t="str">
        <x:v>App Instagram</x:v>
      </x:c>
      <x:c r="S35" s="117" t="str">
        <x:v>Programmabile</x:v>
      </x:c>
      <x:c r="T35" s="117" t="str">
        <x:v>Da fare</x:v>
      </x:c>
      <x:c r="U35" s="81" t="str">
        <x:v>Verifica che nessuna slide sia tagliata. Il link è nel profilo.</x:v>
      </x:c>
      <x:c r="V35" s="81" t="str">
        <x:f>IF(AND(E35&lt;TODAY(),T35&lt;&gt;"Pubblicato"),"SÌ","")</x:f>
      </x:c>
    </x:row>
    <x:row r="36" ht="78" customHeight="1">
      <x:c r="A36" s="117" t="str">
        <x:v>T035</x:v>
      </x:c>
      <x:c r="B36" s="117" t="n">
        <x:v>3</x:v>
      </x:c>
      <x:c r="C36" s="118" t="n">
        <x:f>'CAMPAGNE'!F6</x:f>
        <x:v>46236</x:v>
      </x:c>
      <x:c r="D36" s="119" t="n">
        <x:v>0.75</x:v>
      </x:c>
      <x:c r="E36" s="120" t="n">
        <x:f>'CAMPAGNE'!J6</x:f>
        <x:v>46254</x:v>
      </x:c>
      <x:c r="F36" s="117" t="str">
        <x:f>CHOOSE(WEEKDAY(E36,2),"Lunedì","Martedì","Mercoledì","Giovedì","Venerdì","Sabato","Domenica")</x:f>
        <x:v>Giovedì</x:v>
      </x:c>
      <x:c r="G36" s="119" t="n">
        <x:v>0.8333333333333334</x:v>
      </x:c>
      <x:c r="H36" s="117" t="str">
        <x:v>Facebook</x:v>
      </x:c>
      <x:c r="I36" s="117" t="str">
        <x:v>Carosello</x:v>
      </x:c>
      <x:c r="J36" s="81" t="str">
        <x:v>Notti Fugaci</x:v>
      </x:c>
      <x:c r="K36" s="117" t="str">
        <x:v>CH04</x:v>
      </x:c>
      <x:c r="L36" s="81" t="str">
        <x:v>L'Irlandese</x:v>
      </x:c>
      <x:c r="M36" s="81" t="str">
        <x:v>Carica le tre immagini nell'ordine 01, 02, 03; incolla la caption e programma.</x:v>
      </x:c>
      <x:c r="N36" s="81" t="str">
        <x:v>Notti_Fugaci_Social_Pack/03_CAROUSELS/CH04/CH04_01.jpg
Notti_Fugaci_Social_Pack/03_CAROUSELS/CH04/CH04_02.jpg
Notti_Fugaci_Social_Pack/03_CAROUSELS/CH04/CH04_03.jpg</x:v>
      </x:c>
      <x:c r="O36" s="81" t="str">
        <x:v>Ordine obbligatorio: 01 → 02 → 03</x:v>
      </x:c>
      <x:c r="P36" s="81" t="str">
        <x:f>'TESTI'!F6</x:f>
        <x:v>Dopo Malena, Parigi si era ristretta. Barcellona, invece, sembrava non avere pareti.
Nel dedalo del Barrio Gótico, una sconosciuta e una notte senza tenerezza diventano uno specchio: non più il bravo ragazzo, non più il martire ferito, ma qualcuno che deve ancora capire chi è diventato.
«L'Irlandese» è il primo giorno di una settimana che non sarà turismo.
Entra nel mondo di Notti Fugaci dal link nel profilo.
🌐 https://diaridipelle.it/notti-fugaci.html
📕 Cartaceo: https://www.amazon.it/dp/B0GRWP3X7C
📱 Kindle: https://www.amazon.it/dp/B0GRWP6PMK
#DiariDiPelle #NottiFugaci #Barcellona #NarrativaItaliana #StorieDiViaggio</x:v>
      </x:c>
      <x:c r="Q36" s="81" t="str">
        <x:f>'TESTI'!J6</x:f>
        <x:v>https://diaridipelle.it/notti-fugaci.html</x:v>
      </x:c>
      <x:c r="R36" s="81" t="str">
        <x:v>Meta Business Suite</x:v>
      </x:c>
      <x:c r="S36" s="117" t="str">
        <x:v>Programmabile</x:v>
      </x:c>
      <x:c r="T36" s="117" t="str">
        <x:v>Da fare</x:v>
      </x:c>
      <x:c r="U36" s="81" t="str">
        <x:v>Controlla ordine delle immagini e collegamenti nella caption.</x:v>
      </x:c>
      <x:c r="V36" s="81" t="str">
        <x:f>IF(AND(E36&lt;TODAY(),T36&lt;&gt;"Pubblicato"),"SÌ","")</x:f>
      </x:c>
    </x:row>
    <x:row r="37" ht="78" customHeight="1">
      <x:c r="A37" s="117" t="str">
        <x:v>T036</x:v>
      </x:c>
      <x:c r="B37" s="117" t="n">
        <x:v>3</x:v>
      </x:c>
      <x:c r="C37" s="118" t="n">
        <x:f>'CAMPAGNE'!F7</x:f>
        <x:v>46236</x:v>
      </x:c>
      <x:c r="D37" s="119" t="n">
        <x:v>0.75</x:v>
      </x:c>
      <x:c r="E37" s="120" t="n">
        <x:f>'CAMPAGNE'!H7</x:f>
        <x:v>46255</x:v>
      </x:c>
      <x:c r="F37" s="117" t="str">
        <x:f>CHOOSE(WEEKDAY(E37,2),"Lunedì","Martedì","Mercoledì","Giovedì","Venerdì","Sabato","Domenica")</x:f>
        <x:v>Venerdì</x:v>
      </x:c>
      <x:c r="G37" s="119" t="n">
        <x:v>0.8333333333333334</x:v>
      </x:c>
      <x:c r="H37" s="117" t="str">
        <x:v>Instagram</x:v>
      </x:c>
      <x:c r="I37" s="117" t="str">
        <x:v>Reel</x:v>
      </x:c>
      <x:c r="J37" s="81" t="str">
        <x:v>Notti Fugaci</x:v>
      </x:c>
      <x:c r="K37" s="117" t="str">
        <x:v>CH05</x:v>
      </x:c>
      <x:c r="L37" s="81" t="str">
        <x:v>Tu vuò fa' l'American</x:v>
      </x:c>
      <x:c r="M37" s="81" t="str">
        <x:v>Carica il video, imposta la copertina, incolla la caption e programma.</x:v>
      </x:c>
      <x:c r="N37" s="81" t="str">
        <x:v>Notti_Fugaci_Social_Pack/01_REELS/CH05_reel.mp4</x:v>
      </x:c>
      <x:c r="O37" s="81" t="str">
        <x:v>Notti_Fugaci_Social_Pack/02_REEL_COVERS/CH05_cover.jpg</x:v>
      </x:c>
      <x:c r="P37" s="81" t="str">
        <x:f>'TESTI'!E7</x:f>
        <x:v>La Boqueria, il rumore dei bicchieri, un bagno chiuso dall'interno e una città che non chiede spiegazioni.
Nel secondo giorno a Barcellona tutto sembra accadere prima che qualcuno possa dargli un nome. Perché certe notti non hanno una destinazione: hanno soltanto una direzione.
«Tu vuò fa' l'American» è il quinto capitolo di Notti Fugaci.
Leggi la storia completa dal link nel profilo. Cartaceo e Kindle.
#DiariDiPelle #NottiFugaci #Barcellona #RaccontiContemporanei #LibriItaliani</x:v>
      </x:c>
      <x:c r="Q37" s="81" t="str">
        <x:f>'TESTI'!J7</x:f>
        <x:v>https://diaridipelle.it/notti-fugaci.html</x:v>
      </x:c>
      <x:c r="R37" s="81" t="str">
        <x:v>App Instagram</x:v>
      </x:c>
      <x:c r="S37" s="117" t="str">
        <x:v>Programmabile</x:v>
      </x:c>
      <x:c r="T37" s="117" t="str">
        <x:v>Da fare</x:v>
      </x:c>
      <x:c r="U37" s="81" t="str">
        <x:v>Controlla audio, ritaglio 9:16 e anteprima copertina. Il link è nel profilo.</x:v>
      </x:c>
      <x:c r="V37" s="81" t="str">
        <x:f>IF(AND(E37&lt;TODAY(),T37&lt;&gt;"Pubblicato"),"SÌ","")</x:f>
      </x:c>
    </x:row>
    <x:row r="38" ht="78" customHeight="1">
      <x:c r="A38" s="117" t="str">
        <x:v>T037</x:v>
      </x:c>
      <x:c r="B38" s="117" t="n">
        <x:v>3</x:v>
      </x:c>
      <x:c r="C38" s="118" t="n">
        <x:f>'CAMPAGNE'!F7</x:f>
        <x:v>46236</x:v>
      </x:c>
      <x:c r="D38" s="119" t="n">
        <x:v>0.75</x:v>
      </x:c>
      <x:c r="E38" s="120" t="n">
        <x:f>'CAMPAGNE'!H7</x:f>
        <x:v>46255</x:v>
      </x:c>
      <x:c r="F38" s="117" t="str">
        <x:f>CHOOSE(WEEKDAY(E38,2),"Lunedì","Martedì","Mercoledì","Giovedì","Venerdì","Sabato","Domenica")</x:f>
        <x:v>Venerdì</x:v>
      </x:c>
      <x:c r="G38" s="119" t="n">
        <x:v>0.8333333333333334</x:v>
      </x:c>
      <x:c r="H38" s="117" t="str">
        <x:v>Facebook</x:v>
      </x:c>
      <x:c r="I38" s="117" t="str">
        <x:v>Reel</x:v>
      </x:c>
      <x:c r="J38" s="81" t="str">
        <x:v>Notti Fugaci</x:v>
      </x:c>
      <x:c r="K38" s="117" t="str">
        <x:v>CH05</x:v>
      </x:c>
      <x:c r="L38" s="81" t="str">
        <x:v>Tu vuò fa' l'American</x:v>
      </x:c>
      <x:c r="M38" s="81" t="str">
        <x:v>Crea un Reel nella Pagina, carica video e copertina, incolla la caption e programma.</x:v>
      </x:c>
      <x:c r="N38" s="81" t="str">
        <x:v>Notti_Fugaci_Social_Pack/01_REELS/CH05_reel.mp4</x:v>
      </x:c>
      <x:c r="O38" s="81" t="str">
        <x:v>Notti_Fugaci_Social_Pack/02_REEL_COVERS/CH05_cover.jpg</x:v>
      </x:c>
      <x:c r="P38" s="81" t="str">
        <x:f>'TESTI'!F7</x:f>
        <x:v>La Boqueria, il rumore dei bicchieri, un bagno chiuso dall'interno e una città che non chiede spiegazioni.
Nel secondo giorno a Barcellona tutto sembra accadere prima che qualcuno possa dargli un nome. Perché certe notti non hanno una destinazione: hanno soltanto una direzione.
«Tu vuò fa' l'American» è il quinto capitolo di Notti Fugaci.
Leggi la storia completa dal link nel profilo. Cartaceo e Kindle.
🌐 https://diaridipelle.it/notti-fugaci.html
📕 Cartaceo: https://www.amazon.it/dp/B0GRWP3X7C
📱 Kindle: https://www.amazon.it/dp/B0GRWP6PMK
#DiariDiPelle #NottiFugaci #Barcellona #RaccontiContemporanei #LibriItaliani</x:v>
      </x:c>
      <x:c r="Q38" s="81" t="str">
        <x:f>'TESTI'!J7</x:f>
        <x:v>https://diaridipelle.it/notti-fugaci.html</x:v>
      </x:c>
      <x:c r="R38" s="81" t="str">
        <x:v>Meta Business Suite</x:v>
      </x:c>
      <x:c r="S38" s="117" t="str">
        <x:v>Programmabile</x:v>
      </x:c>
      <x:c r="T38" s="117" t="str">
        <x:v>Da fare</x:v>
      </x:c>
      <x:c r="U38" s="81" t="str">
        <x:v>Pubblica sulla Pagina Facebook. I collegamenti nella caption sono cliccabili.</x:v>
      </x:c>
      <x:c r="V38" s="81" t="str">
        <x:f>IF(AND(E38&lt;TODAY(),T38&lt;&gt;"Pubblicato"),"SÌ","")</x:f>
      </x:c>
    </x:row>
    <x:row r="39" ht="78" customHeight="1">
      <x:c r="A39" s="117" t="str">
        <x:v>T038</x:v>
      </x:c>
      <x:c r="B39" s="117" t="n">
        <x:v>3</x:v>
      </x:c>
      <x:c r="C39" s="118" t="n">
        <x:f>'CAMPAGNE'!G7</x:f>
        <x:v>46250</x:v>
      </x:c>
      <x:c r="D39" s="119" t="n">
        <x:v>0.75</x:v>
      </x:c>
      <x:c r="E39" s="120" t="n">
        <x:f>'CAMPAGNE'!H7</x:f>
        <x:v>46255</x:v>
      </x:c>
      <x:c r="F39" s="117" t="str">
        <x:f>CHOOSE(WEEKDAY(E39,2),"Lunedì","Martedì","Mercoledì","Giovedì","Venerdì","Sabato","Domenica")</x:f>
        <x:v>Venerdì</x:v>
      </x:c>
      <x:c r="G39" s="119" t="n">
        <x:v>0.8333333333333334</x:v>
      </x:c>
      <x:c r="H39" s="117" t="str">
        <x:v>TikTok</x:v>
      </x:c>
      <x:c r="I39" s="117" t="str">
        <x:v>Video</x:v>
      </x:c>
      <x:c r="J39" s="81" t="str">
        <x:v>Notti Fugaci</x:v>
      </x:c>
      <x:c r="K39" s="117" t="str">
        <x:v>CH05</x:v>
      </x:c>
      <x:c r="L39" s="81" t="str">
        <x:v>Tu vuò fa' l'American</x:v>
      </x:c>
      <x:c r="M39" s="81" t="str">
        <x:v>Carica il video in TikTok Studio, scegli la copertina, incolla la caption breve e programma.</x:v>
      </x:c>
      <x:c r="N39" s="81" t="str">
        <x:v>Notti_Fugaci_Social_Pack/01_REELS/CH05_reel.mp4</x:v>
      </x:c>
      <x:c r="O39" s="81" t="str">
        <x:v>Notti_Fugaci_Social_Pack/02_REEL_COVERS/CH05_cover.jpg</x:v>
      </x:c>
      <x:c r="P39" s="81" t="str">
        <x:f>'TESTI'!G7</x:f>
        <x:v>La Boqueria, il rumore dei bicchieri, un bagno chiuso dall'interno e una città che non chiede spiegazioni.
«Tu vuò fa' l'American» da Notti Fugaci.
Scopri il libro dal link in bio.
#DiariDiPelle #NottiFugaci #BookTokItalia #LibriTikTok</x:v>
      </x:c>
      <x:c r="Q39" s="81" t="str">
        <x:f>'TESTI'!J7</x:f>
        <x:v>https://diaridipelle.it/notti-fugaci.html</x:v>
      </x:c>
      <x:c r="R39" s="81" t="str">
        <x:v>TikTok Studio</x:v>
      </x:c>
      <x:c r="S39" s="117" t="str">
        <x:v>Programmabile entro 10 giorni</x:v>
      </x:c>
      <x:c r="T39" s="117" t="str">
        <x:v>Da fare</x:v>
      </x:c>
      <x:c r="U39" s="81" t="str">
        <x:v>Non aggiungere watermark. Controlla anteprima verticale e audio.</x:v>
      </x:c>
      <x:c r="V39" s="81" t="str">
        <x:f>IF(AND(E39&lt;TODAY(),T39&lt;&gt;"Pubblicato"),"SÌ","")</x:f>
      </x:c>
    </x:row>
    <x:row r="40" ht="78" customHeight="1">
      <x:c r="A40" s="117" t="str">
        <x:v>T039</x:v>
      </x:c>
      <x:c r="B40" s="117" t="n">
        <x:v>3</x:v>
      </x:c>
      <x:c r="C40" s="118" t="n">
        <x:f>'CAMPAGNE'!I7</x:f>
        <x:v>46256</x:v>
      </x:c>
      <x:c r="D40" s="119" t="n">
        <x:v>0.4965277777777778</x:v>
      </x:c>
      <x:c r="E40" s="120" t="n">
        <x:f>'CAMPAGNE'!I7</x:f>
        <x:v>46256</x:v>
      </x:c>
      <x:c r="F40" s="117" t="str">
        <x:f>CHOOSE(WEEKDAY(E40,2),"Lunedì","Martedì","Mercoledì","Giovedì","Venerdì","Sabato","Domenica")</x:f>
        <x:v>Sabato</x:v>
      </x:c>
      <x:c r="G40" s="119" t="n">
        <x:v>0.5</x:v>
      </x:c>
      <x:c r="H40" s="117" t="str">
        <x:v>Instagram</x:v>
      </x:c>
      <x:c r="I40" s="117" t="str">
        <x:v>Storia</x:v>
      </x:c>
      <x:c r="J40" s="81" t="str">
        <x:v>Notti Fugaci</x:v>
      </x:c>
      <x:c r="K40" s="117" t="str">
        <x:v>CH05</x:v>
      </x:c>
      <x:c r="L40" s="81" t="str">
        <x:v>Tu vuò fa' l'American</x:v>
      </x:c>
      <x:c r="M40" s="81" t="str">
        <x:v>Carica l'immagine, aggiungi l'adesivo Link e pubblica.</x:v>
      </x:c>
      <x:c r="N40" s="81" t="str">
        <x:v>Notti_Fugaci_Social_Pack/04_STORIES/CH05_story.jpg</x:v>
      </x:c>
      <x:c r="O40" s="81" t="str">
        <x:v>Notti_Fugaci_Social_Pack/05_CAPTIONS/CH05_story_link.txt</x:v>
      </x:c>
      <x:c r="P40" s="81" t="str">
        <x:f>'TESTI'!N7</x:f>
        <x:v>Tocca SCOPRI IL LIBRO e scegli cartaceo o Kindle.</x:v>
      </x:c>
      <x:c r="Q40" s="81" t="str">
        <x:f>'TESTI'!H7</x:f>
        <x:v>https://diaridipelle.it/notti-fugaci.html?utm_source=instagram&amp;utm_medium=story&amp;utm_campaign=notti_fugaci&amp;utm_content=ch05</x:v>
      </x:c>
      <x:c r="R40" s="81" t="str">
        <x:v>App Instagram</x:v>
      </x:c>
      <x:c r="S40" s="117" t="str">
        <x:v>Manuale</x:v>
      </x:c>
      <x:c r="T40" s="117" t="str">
        <x:v>Da fare</x:v>
      </x:c>
      <x:c r="U40" s="81" t="str">
        <x:v>La data lavoro è lo stesso giorno, 5 minuti prima. Testo adesivo: SCOPRI IL LIBRO.</x:v>
      </x:c>
      <x:c r="V40" s="81" t="str">
        <x:f>IF(AND(E40&lt;TODAY(),T40&lt;&gt;"Pubblicato"),"SÌ","")</x:f>
      </x:c>
    </x:row>
    <x:row r="41" ht="78" customHeight="1">
      <x:c r="A41" s="117" t="str">
        <x:v>T040</x:v>
      </x:c>
      <x:c r="B41" s="117" t="n">
        <x:v>3</x:v>
      </x:c>
      <x:c r="C41" s="118" t="n">
        <x:f>'CAMPAGNE'!F7</x:f>
        <x:v>46236</x:v>
      </x:c>
      <x:c r="D41" s="119" t="n">
        <x:v>0.75</x:v>
      </x:c>
      <x:c r="E41" s="120" t="n">
        <x:f>'CAMPAGNE'!I7</x:f>
        <x:v>46256</x:v>
      </x:c>
      <x:c r="F41" s="117" t="str">
        <x:f>CHOOSE(WEEKDAY(E41,2),"Lunedì","Martedì","Mercoledì","Giovedì","Venerdì","Sabato","Domenica")</x:f>
        <x:v>Sabato</x:v>
      </x:c>
      <x:c r="G41" s="119" t="n">
        <x:v>0.5</x:v>
      </x:c>
      <x:c r="H41" s="117" t="str">
        <x:v>Facebook</x:v>
      </x:c>
      <x:c r="I41" s="117" t="str">
        <x:v>Storia</x:v>
      </x:c>
      <x:c r="J41" s="81" t="str">
        <x:v>Notti Fugaci</x:v>
      </x:c>
      <x:c r="K41" s="117" t="str">
        <x:v>CH05</x:v>
      </x:c>
      <x:c r="L41" s="81" t="str">
        <x:v>Tu vuò fa' l'American</x:v>
      </x:c>
      <x:c r="M41" s="81" t="str">
        <x:v>Crea una Storia della Pagina, carica l'immagine, aggiungi il link e programma.</x:v>
      </x:c>
      <x:c r="N41" s="81" t="str">
        <x:v>Notti_Fugaci_Social_Pack/04_STORIES/CH05_story.jpg</x:v>
      </x:c>
      <x:c r="O41" s="81" t="str">
        <x:v>Notti_Fugaci_Social_Pack/05_CAPTIONS/CH05_story_link.txt</x:v>
      </x:c>
      <x:c r="P41" s="81" t="str">
        <x:f>'TESTI'!N7</x:f>
        <x:v>Tocca SCOPRI IL LIBRO e scegli cartaceo o Kindle.</x:v>
      </x:c>
      <x:c r="Q41" s="81" t="str">
        <x:f>'TESTI'!I7</x:f>
        <x:v>https://diaridipelle.it/notti-fugaci.html?utm_source=facebook&amp;utm_medium=story&amp;utm_campaign=notti_fugaci&amp;utm_content=ch05</x:v>
      </x:c>
      <x:c r="R41" s="81" t="str">
        <x:v>Meta Business Suite</x:v>
      </x:c>
      <x:c r="S41" s="117" t="str">
        <x:v>Programmabile</x:v>
      </x:c>
      <x:c r="T41" s="117" t="str">
        <x:v>Da fare</x:v>
      </x:c>
      <x:c r="U41" s="81" t="str">
        <x:v>Controlla che la destinazione sia la Pagina Facebook.</x:v>
      </x:c>
      <x:c r="V41" s="81" t="str">
        <x:f>IF(AND(E41&lt;TODAY(),T41&lt;&gt;"Pubblicato"),"SÌ","")</x:f>
      </x:c>
    </x:row>
    <x:row r="42" ht="78" customHeight="1">
      <x:c r="A42" s="117" t="str">
        <x:v>T041</x:v>
      </x:c>
      <x:c r="B42" s="117" t="n">
        <x:v>3</x:v>
      </x:c>
      <x:c r="C42" s="118" t="n">
        <x:f>'CAMPAGNE'!F7</x:f>
        <x:v>46236</x:v>
      </x:c>
      <x:c r="D42" s="119" t="n">
        <x:v>0.75</x:v>
      </x:c>
      <x:c r="E42" s="120" t="n">
        <x:f>'CAMPAGNE'!J7</x:f>
        <x:v>46257</x:v>
      </x:c>
      <x:c r="F42" s="117" t="str">
        <x:f>CHOOSE(WEEKDAY(E42,2),"Lunedì","Martedì","Mercoledì","Giovedì","Venerdì","Sabato","Domenica")</x:f>
        <x:v>Domenica</x:v>
      </x:c>
      <x:c r="G42" s="119" t="n">
        <x:v>0.4583333333333333</x:v>
      </x:c>
      <x:c r="H42" s="117" t="str">
        <x:v>Instagram</x:v>
      </x:c>
      <x:c r="I42" s="117" t="str">
        <x:v>Carosello</x:v>
      </x:c>
      <x:c r="J42" s="81" t="str">
        <x:v>Notti Fugaci</x:v>
      </x:c>
      <x:c r="K42" s="117" t="str">
        <x:v>CH05</x:v>
      </x:c>
      <x:c r="L42" s="81" t="str">
        <x:v>Tu vuò fa' l'American</x:v>
      </x:c>
      <x:c r="M42" s="81" t="str">
        <x:v>Carica le tre immagini nell'ordine 01, 02, 03; incolla la caption e programma.</x:v>
      </x:c>
      <x:c r="N42" s="81" t="str">
        <x:v>Notti_Fugaci_Social_Pack/03_CAROUSELS/CH05/CH05_01.jpg
Notti_Fugaci_Social_Pack/03_CAROUSELS/CH05/CH05_02.jpg
Notti_Fugaci_Social_Pack/03_CAROUSELS/CH05/CH05_03.jpg</x:v>
      </x:c>
      <x:c r="O42" s="81" t="str">
        <x:v>Ordine obbligatorio: 01 → 02 → 03</x:v>
      </x:c>
      <x:c r="P42" s="81" t="str">
        <x:f>'TESTI'!E7</x:f>
        <x:v>La Boqueria, il rumore dei bicchieri, un bagno chiuso dall'interno e una città che non chiede spiegazioni.
Nel secondo giorno a Barcellona tutto sembra accadere prima che qualcuno possa dargli un nome. Perché certe notti non hanno una destinazione: hanno soltanto una direzione.
«Tu vuò fa' l'American» è il quinto capitolo di Notti Fugaci.
Leggi la storia completa dal link nel profilo. Cartaceo e Kindle.
#DiariDiPelle #NottiFugaci #Barcellona #RaccontiContemporanei #LibriItaliani</x:v>
      </x:c>
      <x:c r="Q42" s="81" t="str">
        <x:f>'TESTI'!J7</x:f>
        <x:v>https://diaridipelle.it/notti-fugaci.html</x:v>
      </x:c>
      <x:c r="R42" s="81" t="str">
        <x:v>App Instagram</x:v>
      </x:c>
      <x:c r="S42" s="117" t="str">
        <x:v>Programmabile</x:v>
      </x:c>
      <x:c r="T42" s="117" t="str">
        <x:v>Da fare</x:v>
      </x:c>
      <x:c r="U42" s="81" t="str">
        <x:v>Verifica che nessuna slide sia tagliata. Il link è nel profilo.</x:v>
      </x:c>
      <x:c r="V42" s="81" t="str">
        <x:f>IF(AND(E42&lt;TODAY(),T42&lt;&gt;"Pubblicato"),"SÌ","")</x:f>
      </x:c>
    </x:row>
    <x:row r="43" ht="78" customHeight="1">
      <x:c r="A43" s="117" t="str">
        <x:v>T042</x:v>
      </x:c>
      <x:c r="B43" s="117" t="n">
        <x:v>3</x:v>
      </x:c>
      <x:c r="C43" s="118" t="n">
        <x:f>'CAMPAGNE'!F7</x:f>
        <x:v>46236</x:v>
      </x:c>
      <x:c r="D43" s="119" t="n">
        <x:v>0.75</x:v>
      </x:c>
      <x:c r="E43" s="120" t="n">
        <x:f>'CAMPAGNE'!J7</x:f>
        <x:v>46257</x:v>
      </x:c>
      <x:c r="F43" s="117" t="str">
        <x:f>CHOOSE(WEEKDAY(E43,2),"Lunedì","Martedì","Mercoledì","Giovedì","Venerdì","Sabato","Domenica")</x:f>
        <x:v>Domenica</x:v>
      </x:c>
      <x:c r="G43" s="119" t="n">
        <x:v>0.4583333333333333</x:v>
      </x:c>
      <x:c r="H43" s="117" t="str">
        <x:v>Facebook</x:v>
      </x:c>
      <x:c r="I43" s="117" t="str">
        <x:v>Carosello</x:v>
      </x:c>
      <x:c r="J43" s="81" t="str">
        <x:v>Notti Fugaci</x:v>
      </x:c>
      <x:c r="K43" s="117" t="str">
        <x:v>CH05</x:v>
      </x:c>
      <x:c r="L43" s="81" t="str">
        <x:v>Tu vuò fa' l'American</x:v>
      </x:c>
      <x:c r="M43" s="81" t="str">
        <x:v>Carica le tre immagini nell'ordine 01, 02, 03; incolla la caption e programma.</x:v>
      </x:c>
      <x:c r="N43" s="81" t="str">
        <x:v>Notti_Fugaci_Social_Pack/03_CAROUSELS/CH05/CH05_01.jpg
Notti_Fugaci_Social_Pack/03_CAROUSELS/CH05/CH05_02.jpg
Notti_Fugaci_Social_Pack/03_CAROUSELS/CH05/CH05_03.jpg</x:v>
      </x:c>
      <x:c r="O43" s="81" t="str">
        <x:v>Ordine obbligatorio: 01 → 02 → 03</x:v>
      </x:c>
      <x:c r="P43" s="81" t="str">
        <x:f>'TESTI'!F7</x:f>
        <x:v>La Boqueria, il rumore dei bicchieri, un bagno chiuso dall'interno e una città che non chiede spiegazioni.
Nel secondo giorno a Barcellona tutto sembra accadere prima che qualcuno possa dargli un nome. Perché certe notti non hanno una destinazione: hanno soltanto una direzione.
«Tu vuò fa' l'American» è il quinto capitolo di Notti Fugaci.
Leggi la storia completa dal link nel profilo. Cartaceo e Kindle.
🌐 https://diaridipelle.it/notti-fugaci.html
📕 Cartaceo: https://www.amazon.it/dp/B0GRWP3X7C
📱 Kindle: https://www.amazon.it/dp/B0GRWP6PMK
#DiariDiPelle #NottiFugaci #Barcellona #RaccontiContemporanei #LibriItaliani</x:v>
      </x:c>
      <x:c r="Q43" s="81" t="str">
        <x:f>'TESTI'!J7</x:f>
        <x:v>https://diaridipelle.it/notti-fugaci.html</x:v>
      </x:c>
      <x:c r="R43" s="81" t="str">
        <x:v>Meta Business Suite</x:v>
      </x:c>
      <x:c r="S43" s="117" t="str">
        <x:v>Programmabile</x:v>
      </x:c>
      <x:c r="T43" s="117" t="str">
        <x:v>Da fare</x:v>
      </x:c>
      <x:c r="U43" s="81" t="str">
        <x:v>Controlla ordine delle immagini e collegamenti nella caption.</x:v>
      </x:c>
      <x:c r="V43" s="81" t="str">
        <x:f>IF(AND(E43&lt;TODAY(),T43&lt;&gt;"Pubblicato"),"SÌ","")</x:f>
      </x:c>
    </x:row>
    <x:row r="44" ht="78" customHeight="1">
      <x:c r="A44" s="117" t="str">
        <x:v>T043</x:v>
      </x:c>
      <x:c r="B44" s="117" t="n">
        <x:v>4</x:v>
      </x:c>
      <x:c r="C44" s="118" t="n">
        <x:f>'CAMPAGNE'!F8</x:f>
        <x:v>46236</x:v>
      </x:c>
      <x:c r="D44" s="119" t="n">
        <x:v>0.75</x:v>
      </x:c>
      <x:c r="E44" s="120" t="n">
        <x:f>'CAMPAGNE'!H8</x:f>
        <x:v>46259</x:v>
      </x:c>
      <x:c r="F44" s="117" t="str">
        <x:f>CHOOSE(WEEKDAY(E44,2),"Lunedì","Martedì","Mercoledì","Giovedì","Venerdì","Sabato","Domenica")</x:f>
        <x:v>Martedì</x:v>
      </x:c>
      <x:c r="G44" s="119" t="n">
        <x:v>0.8333333333333334</x:v>
      </x:c>
      <x:c r="H44" s="117" t="str">
        <x:v>Instagram</x:v>
      </x:c>
      <x:c r="I44" s="117" t="str">
        <x:v>Reel</x:v>
      </x:c>
      <x:c r="J44" s="81" t="str">
        <x:v>Notti Fugaci</x:v>
      </x:c>
      <x:c r="K44" s="117" t="str">
        <x:v>CH06</x:v>
      </x:c>
      <x:c r="L44" s="81" t="str">
        <x:v>Helena</x:v>
      </x:c>
      <x:c r="M44" s="81" t="str">
        <x:v>Carica il video, imposta la copertina, incolla la caption e programma.</x:v>
      </x:c>
      <x:c r="N44" s="81" t="str">
        <x:v>Notti_Fugaci_Social_Pack/01_REELS/CH06_reel.mp4</x:v>
      </x:c>
      <x:c r="O44" s="81" t="str">
        <x:v>Notti_Fugaci_Social_Pack/02_REEL_COVERS/CH06_cover.jpg</x:v>
      </x:c>
      <x:c r="P44" s="81" t="str">
        <x:f>'TESTI'!E8</x:f>
        <x:v>Helena si era sposata troppo giovane. Cercava una prova: sapere che si può cambiare anche quando sembra tardi.
Tra il mare, il flamenco e una stanza bianca, un incontro diventa qualcosa di più di una notte. Non una promessa, ma il coraggio temporaneo di immaginarsi diversi.
Helena è il sesto capitolo di Notti Fugaci.
Scopri la collana e il libro completo dal link nel profilo.
#DiariDiPelle #NottiFugaci #Helena #NarrativaContemporanea #LibriDaLeggere</x:v>
      </x:c>
      <x:c r="Q44" s="81" t="str">
        <x:f>'TESTI'!J8</x:f>
        <x:v>https://diaridipelle.it/notti-fugaci.html</x:v>
      </x:c>
      <x:c r="R44" s="81" t="str">
        <x:v>App Instagram</x:v>
      </x:c>
      <x:c r="S44" s="117" t="str">
        <x:v>Programmabile</x:v>
      </x:c>
      <x:c r="T44" s="117" t="str">
        <x:v>Da fare</x:v>
      </x:c>
      <x:c r="U44" s="81" t="str">
        <x:v>Controlla audio, ritaglio 9:16 e anteprima copertina. Il link è nel profilo.</x:v>
      </x:c>
      <x:c r="V44" s="81" t="str">
        <x:f>IF(AND(E44&lt;TODAY(),T44&lt;&gt;"Pubblicato"),"SÌ","")</x:f>
      </x:c>
    </x:row>
    <x:row r="45" ht="78" customHeight="1">
      <x:c r="A45" s="117" t="str">
        <x:v>T044</x:v>
      </x:c>
      <x:c r="B45" s="117" t="n">
        <x:v>4</x:v>
      </x:c>
      <x:c r="C45" s="118" t="n">
        <x:f>'CAMPAGNE'!F8</x:f>
        <x:v>46236</x:v>
      </x:c>
      <x:c r="D45" s="119" t="n">
        <x:v>0.75</x:v>
      </x:c>
      <x:c r="E45" s="120" t="n">
        <x:f>'CAMPAGNE'!H8</x:f>
        <x:v>46259</x:v>
      </x:c>
      <x:c r="F45" s="117" t="str">
        <x:f>CHOOSE(WEEKDAY(E45,2),"Lunedì","Martedì","Mercoledì","Giovedì","Venerdì","Sabato","Domenica")</x:f>
        <x:v>Martedì</x:v>
      </x:c>
      <x:c r="G45" s="119" t="n">
        <x:v>0.8333333333333334</x:v>
      </x:c>
      <x:c r="H45" s="117" t="str">
        <x:v>Facebook</x:v>
      </x:c>
      <x:c r="I45" s="117" t="str">
        <x:v>Reel</x:v>
      </x:c>
      <x:c r="J45" s="81" t="str">
        <x:v>Notti Fugaci</x:v>
      </x:c>
      <x:c r="K45" s="117" t="str">
        <x:v>CH06</x:v>
      </x:c>
      <x:c r="L45" s="81" t="str">
        <x:v>Helena</x:v>
      </x:c>
      <x:c r="M45" s="81" t="str">
        <x:v>Crea un Reel nella Pagina, carica video e copertina, incolla la caption e programma.</x:v>
      </x:c>
      <x:c r="N45" s="81" t="str">
        <x:v>Notti_Fugaci_Social_Pack/01_REELS/CH06_reel.mp4</x:v>
      </x:c>
      <x:c r="O45" s="81" t="str">
        <x:v>Notti_Fugaci_Social_Pack/02_REEL_COVERS/CH06_cover.jpg</x:v>
      </x:c>
      <x:c r="P45" s="81" t="str">
        <x:f>'TESTI'!F8</x:f>
        <x:v>Helena si era sposata troppo giovane. Cercava una prova: sapere che si può cambiare anche quando sembra tardi.
Tra il mare, il flamenco e una stanza bianca, un incontro diventa qualcosa di più di una notte. Non una promessa, ma il coraggio temporaneo di immaginarsi diversi.
Helena è il sesto capitolo di Notti Fugaci.
Scopri la collana e il libro completo dal link nel profilo.
🌐 https://diaridipelle.it/notti-fugaci.html
📕 Cartaceo: https://www.amazon.it/dp/B0GRWP3X7C
📱 Kindle: https://www.amazon.it/dp/B0GRWP6PMK
#DiariDiPelle #NottiFugaci #Helena #NarrativaContemporanea #LibriDaLeggere</x:v>
      </x:c>
      <x:c r="Q45" s="81" t="str">
        <x:f>'TESTI'!J8</x:f>
        <x:v>https://diaridipelle.it/notti-fugaci.html</x:v>
      </x:c>
      <x:c r="R45" s="81" t="str">
        <x:v>Meta Business Suite</x:v>
      </x:c>
      <x:c r="S45" s="117" t="str">
        <x:v>Programmabile</x:v>
      </x:c>
      <x:c r="T45" s="117" t="str">
        <x:v>Da fare</x:v>
      </x:c>
      <x:c r="U45" s="81" t="str">
        <x:v>Pubblica sulla Pagina Facebook. I collegamenti nella caption sono cliccabili.</x:v>
      </x:c>
      <x:c r="V45" s="81" t="str">
        <x:f>IF(AND(E45&lt;TODAY(),T45&lt;&gt;"Pubblicato"),"SÌ","")</x:f>
      </x:c>
    </x:row>
    <x:row r="46" ht="78" customHeight="1">
      <x:c r="A46" s="117" t="str">
        <x:v>T045</x:v>
      </x:c>
      <x:c r="B46" s="117" t="n">
        <x:v>4</x:v>
      </x:c>
      <x:c r="C46" s="118" t="n">
        <x:f>'CAMPAGNE'!G8</x:f>
        <x:v>46257</x:v>
      </x:c>
      <x:c r="D46" s="119" t="n">
        <x:v>0.75</x:v>
      </x:c>
      <x:c r="E46" s="120" t="n">
        <x:f>'CAMPAGNE'!H8</x:f>
        <x:v>46259</x:v>
      </x:c>
      <x:c r="F46" s="117" t="str">
        <x:f>CHOOSE(WEEKDAY(E46,2),"Lunedì","Martedì","Mercoledì","Giovedì","Venerdì","Sabato","Domenica")</x:f>
        <x:v>Martedì</x:v>
      </x:c>
      <x:c r="G46" s="119" t="n">
        <x:v>0.8333333333333334</x:v>
      </x:c>
      <x:c r="H46" s="117" t="str">
        <x:v>TikTok</x:v>
      </x:c>
      <x:c r="I46" s="117" t="str">
        <x:v>Video</x:v>
      </x:c>
      <x:c r="J46" s="81" t="str">
        <x:v>Notti Fugaci</x:v>
      </x:c>
      <x:c r="K46" s="117" t="str">
        <x:v>CH06</x:v>
      </x:c>
      <x:c r="L46" s="81" t="str">
        <x:v>Helena</x:v>
      </x:c>
      <x:c r="M46" s="81" t="str">
        <x:v>Carica il video in TikTok Studio, scegli la copertina, incolla la caption breve e programma.</x:v>
      </x:c>
      <x:c r="N46" s="81" t="str">
        <x:v>Notti_Fugaci_Social_Pack/01_REELS/CH06_reel.mp4</x:v>
      </x:c>
      <x:c r="O46" s="81" t="str">
        <x:v>Notti_Fugaci_Social_Pack/02_REEL_COVERS/CH06_cover.jpg</x:v>
      </x:c>
      <x:c r="P46" s="81" t="str">
        <x:f>'TESTI'!G8</x:f>
        <x:v>Helena si era sposata troppo giovane. Cercava una prova: sapere che si può cambiare anche quando sembra tardi.
«Helena» da Notti Fugaci.
Scopri il libro dal link in bio.
#DiariDiPelle #NottiFugaci #BookTokItalia #LibriTikTok</x:v>
      </x:c>
      <x:c r="Q46" s="81" t="str">
        <x:f>'TESTI'!J8</x:f>
        <x:v>https://diaridipelle.it/notti-fugaci.html</x:v>
      </x:c>
      <x:c r="R46" s="81" t="str">
        <x:v>TikTok Studio</x:v>
      </x:c>
      <x:c r="S46" s="117" t="str">
        <x:v>Programmabile entro 10 giorni</x:v>
      </x:c>
      <x:c r="T46" s="117" t="str">
        <x:v>Da fare</x:v>
      </x:c>
      <x:c r="U46" s="81" t="str">
        <x:v>Non aggiungere watermark. Controlla anteprima verticale e audio.</x:v>
      </x:c>
      <x:c r="V46" s="81" t="str">
        <x:f>IF(AND(E46&lt;TODAY(),T46&lt;&gt;"Pubblicato"),"SÌ","")</x:f>
      </x:c>
    </x:row>
    <x:row r="47" ht="78" customHeight="1">
      <x:c r="A47" s="117" t="str">
        <x:v>T046</x:v>
      </x:c>
      <x:c r="B47" s="117" t="n">
        <x:v>4</x:v>
      </x:c>
      <x:c r="C47" s="118" t="n">
        <x:f>'CAMPAGNE'!I8</x:f>
        <x:v>46260</x:v>
      </x:c>
      <x:c r="D47" s="119" t="n">
        <x:v>0.4965277777777778</x:v>
      </x:c>
      <x:c r="E47" s="120" t="n">
        <x:f>'CAMPAGNE'!I8</x:f>
        <x:v>46260</x:v>
      </x:c>
      <x:c r="F47" s="117" t="str">
        <x:f>CHOOSE(WEEKDAY(E47,2),"Lunedì","Martedì","Mercoledì","Giovedì","Venerdì","Sabato","Domenica")</x:f>
        <x:v>Mercoledì</x:v>
      </x:c>
      <x:c r="G47" s="119" t="n">
        <x:v>0.5</x:v>
      </x:c>
      <x:c r="H47" s="117" t="str">
        <x:v>Instagram</x:v>
      </x:c>
      <x:c r="I47" s="117" t="str">
        <x:v>Storia</x:v>
      </x:c>
      <x:c r="J47" s="81" t="str">
        <x:v>Notti Fugaci</x:v>
      </x:c>
      <x:c r="K47" s="117" t="str">
        <x:v>CH06</x:v>
      </x:c>
      <x:c r="L47" s="81" t="str">
        <x:v>Helena</x:v>
      </x:c>
      <x:c r="M47" s="81" t="str">
        <x:v>Carica l'immagine, aggiungi l'adesivo Link e pubblica.</x:v>
      </x:c>
      <x:c r="N47" s="81" t="str">
        <x:v>Notti_Fugaci_Social_Pack/04_STORIES/CH06_story.jpg</x:v>
      </x:c>
      <x:c r="O47" s="81" t="str">
        <x:v>Notti_Fugaci_Social_Pack/05_CAPTIONS/CH06_story_link.txt</x:v>
      </x:c>
      <x:c r="P47" s="81" t="str">
        <x:f>'TESTI'!N8</x:f>
        <x:v>Tocca SCOPRI IL LIBRO e scegli cartaceo o Kindle.</x:v>
      </x:c>
      <x:c r="Q47" s="81" t="str">
        <x:f>'TESTI'!H8</x:f>
        <x:v>https://diaridipelle.it/notti-fugaci.html?utm_source=instagram&amp;utm_medium=story&amp;utm_campaign=notti_fugaci&amp;utm_content=ch06</x:v>
      </x:c>
      <x:c r="R47" s="81" t="str">
        <x:v>App Instagram</x:v>
      </x:c>
      <x:c r="S47" s="117" t="str">
        <x:v>Manuale</x:v>
      </x:c>
      <x:c r="T47" s="117" t="str">
        <x:v>Da fare</x:v>
      </x:c>
      <x:c r="U47" s="81" t="str">
        <x:v>La data lavoro è lo stesso giorno, 5 minuti prima. Testo adesivo: SCOPRI IL LIBRO.</x:v>
      </x:c>
      <x:c r="V47" s="81" t="str">
        <x:f>IF(AND(E47&lt;TODAY(),T47&lt;&gt;"Pubblicato"),"SÌ","")</x:f>
      </x:c>
    </x:row>
    <x:row r="48" ht="78" customHeight="1">
      <x:c r="A48" s="117" t="str">
        <x:v>T047</x:v>
      </x:c>
      <x:c r="B48" s="117" t="n">
        <x:v>4</x:v>
      </x:c>
      <x:c r="C48" s="118" t="n">
        <x:f>'CAMPAGNE'!F8</x:f>
        <x:v>46236</x:v>
      </x:c>
      <x:c r="D48" s="119" t="n">
        <x:v>0.75</x:v>
      </x:c>
      <x:c r="E48" s="120" t="n">
        <x:f>'CAMPAGNE'!I8</x:f>
        <x:v>46260</x:v>
      </x:c>
      <x:c r="F48" s="117" t="str">
        <x:f>CHOOSE(WEEKDAY(E48,2),"Lunedì","Martedì","Mercoledì","Giovedì","Venerdì","Sabato","Domenica")</x:f>
        <x:v>Mercoledì</x:v>
      </x:c>
      <x:c r="G48" s="119" t="n">
        <x:v>0.5</x:v>
      </x:c>
      <x:c r="H48" s="117" t="str">
        <x:v>Facebook</x:v>
      </x:c>
      <x:c r="I48" s="117" t="str">
        <x:v>Storia</x:v>
      </x:c>
      <x:c r="J48" s="81" t="str">
        <x:v>Notti Fugaci</x:v>
      </x:c>
      <x:c r="K48" s="117" t="str">
        <x:v>CH06</x:v>
      </x:c>
      <x:c r="L48" s="81" t="str">
        <x:v>Helena</x:v>
      </x:c>
      <x:c r="M48" s="81" t="str">
        <x:v>Crea una Storia della Pagina, carica l'immagine, aggiungi il link e programma.</x:v>
      </x:c>
      <x:c r="N48" s="81" t="str">
        <x:v>Notti_Fugaci_Social_Pack/04_STORIES/CH06_story.jpg</x:v>
      </x:c>
      <x:c r="O48" s="81" t="str">
        <x:v>Notti_Fugaci_Social_Pack/05_CAPTIONS/CH06_story_link.txt</x:v>
      </x:c>
      <x:c r="P48" s="81" t="str">
        <x:f>'TESTI'!N8</x:f>
        <x:v>Tocca SCOPRI IL LIBRO e scegli cartaceo o Kindle.</x:v>
      </x:c>
      <x:c r="Q48" s="81" t="str">
        <x:f>'TESTI'!I8</x:f>
        <x:v>https://diaridipelle.it/notti-fugaci.html?utm_source=facebook&amp;utm_medium=story&amp;utm_campaign=notti_fugaci&amp;utm_content=ch06</x:v>
      </x:c>
      <x:c r="R48" s="81" t="str">
        <x:v>Meta Business Suite</x:v>
      </x:c>
      <x:c r="S48" s="117" t="str">
        <x:v>Programmabile</x:v>
      </x:c>
      <x:c r="T48" s="117" t="str">
        <x:v>Da fare</x:v>
      </x:c>
      <x:c r="U48" s="81" t="str">
        <x:v>Controlla che la destinazione sia la Pagina Facebook.</x:v>
      </x:c>
      <x:c r="V48" s="81" t="str">
        <x:f>IF(AND(E48&lt;TODAY(),T48&lt;&gt;"Pubblicato"),"SÌ","")</x:f>
      </x:c>
    </x:row>
    <x:row r="49" ht="78" customHeight="1">
      <x:c r="A49" s="117" t="str">
        <x:v>T048</x:v>
      </x:c>
      <x:c r="B49" s="117" t="n">
        <x:v>4</x:v>
      </x:c>
      <x:c r="C49" s="118" t="n">
        <x:f>'CAMPAGNE'!F8</x:f>
        <x:v>46236</x:v>
      </x:c>
      <x:c r="D49" s="119" t="n">
        <x:v>0.75</x:v>
      </x:c>
      <x:c r="E49" s="120" t="n">
        <x:f>'CAMPAGNE'!J8</x:f>
        <x:v>46261</x:v>
      </x:c>
      <x:c r="F49" s="117" t="str">
        <x:f>CHOOSE(WEEKDAY(E49,2),"Lunedì","Martedì","Mercoledì","Giovedì","Venerdì","Sabato","Domenica")</x:f>
        <x:v>Giovedì</x:v>
      </x:c>
      <x:c r="G49" s="119" t="n">
        <x:v>0.8333333333333334</x:v>
      </x:c>
      <x:c r="H49" s="117" t="str">
        <x:v>Instagram</x:v>
      </x:c>
      <x:c r="I49" s="117" t="str">
        <x:v>Carosello</x:v>
      </x:c>
      <x:c r="J49" s="81" t="str">
        <x:v>Notti Fugaci</x:v>
      </x:c>
      <x:c r="K49" s="117" t="str">
        <x:v>CH06</x:v>
      </x:c>
      <x:c r="L49" s="81" t="str">
        <x:v>Helena</x:v>
      </x:c>
      <x:c r="M49" s="81" t="str">
        <x:v>Carica le tre immagini nell'ordine 01, 02, 03; incolla la caption e programma.</x:v>
      </x:c>
      <x:c r="N49" s="81" t="str">
        <x:v>Notti_Fugaci_Social_Pack/03_CAROUSELS/CH06/CH06_01.jpg
Notti_Fugaci_Social_Pack/03_CAROUSELS/CH06/CH06_02.jpg
Notti_Fugaci_Social_Pack/03_CAROUSELS/CH06/CH06_03.jpg</x:v>
      </x:c>
      <x:c r="O49" s="81" t="str">
        <x:v>Ordine obbligatorio: 01 → 02 → 03</x:v>
      </x:c>
      <x:c r="P49" s="81" t="str">
        <x:f>'TESTI'!E8</x:f>
        <x:v>Helena si era sposata troppo giovane. Cercava una prova: sapere che si può cambiare anche quando sembra tardi.
Tra il mare, il flamenco e una stanza bianca, un incontro diventa qualcosa di più di una notte. Non una promessa, ma il coraggio temporaneo di immaginarsi diversi.
Helena è il sesto capitolo di Notti Fugaci.
Scopri la collana e il libro completo dal link nel profilo.
#DiariDiPelle #NottiFugaci #Helena #NarrativaContemporanea #LibriDaLeggere</x:v>
      </x:c>
      <x:c r="Q49" s="81" t="str">
        <x:f>'TESTI'!J8</x:f>
        <x:v>https://diaridipelle.it/notti-fugaci.html</x:v>
      </x:c>
      <x:c r="R49" s="81" t="str">
        <x:v>App Instagram</x:v>
      </x:c>
      <x:c r="S49" s="117" t="str">
        <x:v>Programmabile</x:v>
      </x:c>
      <x:c r="T49" s="117" t="str">
        <x:v>Da fare</x:v>
      </x:c>
      <x:c r="U49" s="81" t="str">
        <x:v>Verifica che nessuna slide sia tagliata. Il link è nel profilo.</x:v>
      </x:c>
      <x:c r="V49" s="81" t="str">
        <x:f>IF(AND(E49&lt;TODAY(),T49&lt;&gt;"Pubblicato"),"SÌ","")</x:f>
      </x:c>
    </x:row>
    <x:row r="50" ht="78" customHeight="1">
      <x:c r="A50" s="117" t="str">
        <x:v>T049</x:v>
      </x:c>
      <x:c r="B50" s="117" t="n">
        <x:v>4</x:v>
      </x:c>
      <x:c r="C50" s="118" t="n">
        <x:f>'CAMPAGNE'!F8</x:f>
        <x:v>46236</x:v>
      </x:c>
      <x:c r="D50" s="119" t="n">
        <x:v>0.75</x:v>
      </x:c>
      <x:c r="E50" s="120" t="n">
        <x:f>'CAMPAGNE'!J8</x:f>
        <x:v>46261</x:v>
      </x:c>
      <x:c r="F50" s="117" t="str">
        <x:f>CHOOSE(WEEKDAY(E50,2),"Lunedì","Martedì","Mercoledì","Giovedì","Venerdì","Sabato","Domenica")</x:f>
        <x:v>Giovedì</x:v>
      </x:c>
      <x:c r="G50" s="119" t="n">
        <x:v>0.8333333333333334</x:v>
      </x:c>
      <x:c r="H50" s="117" t="str">
        <x:v>Facebook</x:v>
      </x:c>
      <x:c r="I50" s="117" t="str">
        <x:v>Carosello</x:v>
      </x:c>
      <x:c r="J50" s="81" t="str">
        <x:v>Notti Fugaci</x:v>
      </x:c>
      <x:c r="K50" s="117" t="str">
        <x:v>CH06</x:v>
      </x:c>
      <x:c r="L50" s="81" t="str">
        <x:v>Helena</x:v>
      </x:c>
      <x:c r="M50" s="81" t="str">
        <x:v>Carica le tre immagini nell'ordine 01, 02, 03; incolla la caption e programma.</x:v>
      </x:c>
      <x:c r="N50" s="81" t="str">
        <x:v>Notti_Fugaci_Social_Pack/03_CAROUSELS/CH06/CH06_01.jpg
Notti_Fugaci_Social_Pack/03_CAROUSELS/CH06/CH06_02.jpg
Notti_Fugaci_Social_Pack/03_CAROUSELS/CH06/CH06_03.jpg</x:v>
      </x:c>
      <x:c r="O50" s="81" t="str">
        <x:v>Ordine obbligatorio: 01 → 02 → 03</x:v>
      </x:c>
      <x:c r="P50" s="81" t="str">
        <x:f>'TESTI'!F8</x:f>
        <x:v>Helena si era sposata troppo giovane. Cercava una prova: sapere che si può cambiare anche quando sembra tardi.
Tra il mare, il flamenco e una stanza bianca, un incontro diventa qualcosa di più di una notte. Non una promessa, ma il coraggio temporaneo di immaginarsi diversi.
Helena è il sesto capitolo di Notti Fugaci.
Scopri la collana e il libro completo dal link nel profilo.
🌐 https://diaridipelle.it/notti-fugaci.html
📕 Cartaceo: https://www.amazon.it/dp/B0GRWP3X7C
📱 Kindle: https://www.amazon.it/dp/B0GRWP6PMK
#DiariDiPelle #NottiFugaci #Helena #NarrativaContemporanea #LibriDaLeggere</x:v>
      </x:c>
      <x:c r="Q50" s="81" t="str">
        <x:f>'TESTI'!J8</x:f>
        <x:v>https://diaridipelle.it/notti-fugaci.html</x:v>
      </x:c>
      <x:c r="R50" s="81" t="str">
        <x:v>Meta Business Suite</x:v>
      </x:c>
      <x:c r="S50" s="117" t="str">
        <x:v>Programmabile</x:v>
      </x:c>
      <x:c r="T50" s="117" t="str">
        <x:v>Da fare</x:v>
      </x:c>
      <x:c r="U50" s="81" t="str">
        <x:v>Controlla ordine delle immagini e collegamenti nella caption.</x:v>
      </x:c>
      <x:c r="V50" s="81" t="str">
        <x:f>IF(AND(E50&lt;TODAY(),T50&lt;&gt;"Pubblicato"),"SÌ","")</x:f>
      </x:c>
    </x:row>
    <x:row r="51" ht="78" customHeight="1">
      <x:c r="A51" s="117" t="str">
        <x:v>T050</x:v>
      </x:c>
      <x:c r="B51" s="117" t="n">
        <x:v>4</x:v>
      </x:c>
      <x:c r="C51" s="118" t="n">
        <x:f>'CAMPAGNE'!F9</x:f>
        <x:v>46236</x:v>
      </x:c>
      <x:c r="D51" s="119" t="n">
        <x:v>0.75</x:v>
      </x:c>
      <x:c r="E51" s="120" t="n">
        <x:f>'CAMPAGNE'!H9</x:f>
        <x:v>46262</x:v>
      </x:c>
      <x:c r="F51" s="117" t="str">
        <x:f>CHOOSE(WEEKDAY(E51,2),"Lunedì","Martedì","Mercoledì","Giovedì","Venerdì","Sabato","Domenica")</x:f>
        <x:v>Venerdì</x:v>
      </x:c>
      <x:c r="G51" s="119" t="n">
        <x:v>0.8333333333333334</x:v>
      </x:c>
      <x:c r="H51" s="117" t="str">
        <x:v>Instagram</x:v>
      </x:c>
      <x:c r="I51" s="117" t="str">
        <x:v>Reel</x:v>
      </x:c>
      <x:c r="J51" s="81" t="str">
        <x:v>Notti Fugaci</x:v>
      </x:c>
      <x:c r="K51" s="117" t="str">
        <x:v>CH07</x:v>
      </x:c>
      <x:c r="L51" s="81" t="str">
        <x:v>Virginia</x:v>
      </x:c>
      <x:c r="M51" s="81" t="str">
        <x:v>Carica il video, imposta la copertina, incolla la caption e programma.</x:v>
      </x:c>
      <x:c r="N51" s="81" t="str">
        <x:v>Notti_Fugaci_Social_Pack/01_REELS/CH07_reel.mp4</x:v>
      </x:c>
      <x:c r="O51" s="81" t="str">
        <x:v>Notti_Fugaci_Social_Pack/02_REEL_COVERS/CH07_cover.jpg</x:v>
      </x:c>
      <x:c r="P51" s="81" t="str">
        <x:f>'TESTI'!E9</x:f>
        <x:v>Barcellona sembrava dire una cosa semplice: non andare dove il sentiero è già segnato.
Virginia arriva con lo sguardo verde, l'odore d'incenso e la sicurezza di chi non ha bisogno di promettere il giorno dopo. Una notte può essere completa anche quando non vuole diventare futuro.
Il settimo capitolo di Notti Fugaci è una traccia lasciata senza chiedere di essere seguita.
Continua dal link nel profilo.
#DiariDiPelle #NottiFugaci #Virginia #Barcellona #NarrativaItaliana</x:v>
      </x:c>
      <x:c r="Q51" s="81" t="str">
        <x:f>'TESTI'!J9</x:f>
        <x:v>https://diaridipelle.it/notti-fugaci.html</x:v>
      </x:c>
      <x:c r="R51" s="81" t="str">
        <x:v>App Instagram</x:v>
      </x:c>
      <x:c r="S51" s="117" t="str">
        <x:v>Programmabile</x:v>
      </x:c>
      <x:c r="T51" s="117" t="str">
        <x:v>Da fare</x:v>
      </x:c>
      <x:c r="U51" s="81" t="str">
        <x:v>Controlla audio, ritaglio 9:16 e anteprima copertina. Il link è nel profilo.</x:v>
      </x:c>
      <x:c r="V51" s="81" t="str">
        <x:f>IF(AND(E51&lt;TODAY(),T51&lt;&gt;"Pubblicato"),"SÌ","")</x:f>
      </x:c>
    </x:row>
    <x:row r="52" ht="78" customHeight="1">
      <x:c r="A52" s="117" t="str">
        <x:v>T051</x:v>
      </x:c>
      <x:c r="B52" s="117" t="n">
        <x:v>4</x:v>
      </x:c>
      <x:c r="C52" s="118" t="n">
        <x:f>'CAMPAGNE'!F9</x:f>
        <x:v>46236</x:v>
      </x:c>
      <x:c r="D52" s="119" t="n">
        <x:v>0.75</x:v>
      </x:c>
      <x:c r="E52" s="120" t="n">
        <x:f>'CAMPAGNE'!H9</x:f>
        <x:v>46262</x:v>
      </x:c>
      <x:c r="F52" s="117" t="str">
        <x:f>CHOOSE(WEEKDAY(E52,2),"Lunedì","Martedì","Mercoledì","Giovedì","Venerdì","Sabato","Domenica")</x:f>
        <x:v>Venerdì</x:v>
      </x:c>
      <x:c r="G52" s="119" t="n">
        <x:v>0.8333333333333334</x:v>
      </x:c>
      <x:c r="H52" s="117" t="str">
        <x:v>Facebook</x:v>
      </x:c>
      <x:c r="I52" s="117" t="str">
        <x:v>Reel</x:v>
      </x:c>
      <x:c r="J52" s="81" t="str">
        <x:v>Notti Fugaci</x:v>
      </x:c>
      <x:c r="K52" s="117" t="str">
        <x:v>CH07</x:v>
      </x:c>
      <x:c r="L52" s="81" t="str">
        <x:v>Virginia</x:v>
      </x:c>
      <x:c r="M52" s="81" t="str">
        <x:v>Crea un Reel nella Pagina, carica video e copertina, incolla la caption e programma.</x:v>
      </x:c>
      <x:c r="N52" s="81" t="str">
        <x:v>Notti_Fugaci_Social_Pack/01_REELS/CH07_reel.mp4</x:v>
      </x:c>
      <x:c r="O52" s="81" t="str">
        <x:v>Notti_Fugaci_Social_Pack/02_REEL_COVERS/CH07_cover.jpg</x:v>
      </x:c>
      <x:c r="P52" s="81" t="str">
        <x:f>'TESTI'!F9</x:f>
        <x:v>Barcellona sembrava dire una cosa semplice: non andare dove il sentiero è già segnato.
Virginia arriva con lo sguardo verde, l'odore d'incenso e la sicurezza di chi non ha bisogno di promettere il giorno dopo. Una notte può essere completa anche quando non vuole diventare futuro.
Il settimo capitolo di Notti Fugaci è una traccia lasciata senza chiedere di essere seguita.
Continua dal link nel profilo.
🌐 https://diaridipelle.it/notti-fugaci.html
📕 Cartaceo: https://www.amazon.it/dp/B0GRWP3X7C
📱 Kindle: https://www.amazon.it/dp/B0GRWP6PMK
#DiariDiPelle #NottiFugaci #Virginia #Barcellona #NarrativaItaliana</x:v>
      </x:c>
      <x:c r="Q52" s="81" t="str">
        <x:f>'TESTI'!J9</x:f>
        <x:v>https://diaridipelle.it/notti-fugaci.html</x:v>
      </x:c>
      <x:c r="R52" s="81" t="str">
        <x:v>Meta Business Suite</x:v>
      </x:c>
      <x:c r="S52" s="117" t="str">
        <x:v>Programmabile</x:v>
      </x:c>
      <x:c r="T52" s="117" t="str">
        <x:v>Da fare</x:v>
      </x:c>
      <x:c r="U52" s="81" t="str">
        <x:v>Pubblica sulla Pagina Facebook. I collegamenti nella caption sono cliccabili.</x:v>
      </x:c>
      <x:c r="V52" s="81" t="str">
        <x:f>IF(AND(E52&lt;TODAY(),T52&lt;&gt;"Pubblicato"),"SÌ","")</x:f>
      </x:c>
    </x:row>
    <x:row r="53" ht="78" customHeight="1">
      <x:c r="A53" s="117" t="str">
        <x:v>T052</x:v>
      </x:c>
      <x:c r="B53" s="117" t="n">
        <x:v>4</x:v>
      </x:c>
      <x:c r="C53" s="118" t="n">
        <x:f>'CAMPAGNE'!G9</x:f>
        <x:v>46257</x:v>
      </x:c>
      <x:c r="D53" s="119" t="n">
        <x:v>0.75</x:v>
      </x:c>
      <x:c r="E53" s="120" t="n">
        <x:f>'CAMPAGNE'!H9</x:f>
        <x:v>46262</x:v>
      </x:c>
      <x:c r="F53" s="117" t="str">
        <x:f>CHOOSE(WEEKDAY(E53,2),"Lunedì","Martedì","Mercoledì","Giovedì","Venerdì","Sabato","Domenica")</x:f>
        <x:v>Venerdì</x:v>
      </x:c>
      <x:c r="G53" s="119" t="n">
        <x:v>0.8333333333333334</x:v>
      </x:c>
      <x:c r="H53" s="117" t="str">
        <x:v>TikTok</x:v>
      </x:c>
      <x:c r="I53" s="117" t="str">
        <x:v>Video</x:v>
      </x:c>
      <x:c r="J53" s="81" t="str">
        <x:v>Notti Fugaci</x:v>
      </x:c>
      <x:c r="K53" s="117" t="str">
        <x:v>CH07</x:v>
      </x:c>
      <x:c r="L53" s="81" t="str">
        <x:v>Virginia</x:v>
      </x:c>
      <x:c r="M53" s="81" t="str">
        <x:v>Carica il video in TikTok Studio, scegli la copertina, incolla la caption breve e programma.</x:v>
      </x:c>
      <x:c r="N53" s="81" t="str">
        <x:v>Notti_Fugaci_Social_Pack/01_REELS/CH07_reel.mp4</x:v>
      </x:c>
      <x:c r="O53" s="81" t="str">
        <x:v>Notti_Fugaci_Social_Pack/02_REEL_COVERS/CH07_cover.jpg</x:v>
      </x:c>
      <x:c r="P53" s="81" t="str">
        <x:f>'TESTI'!G9</x:f>
        <x:v>Barcellona sembrava dire una cosa semplice: non andare dove il sentiero è già segnato.
«Virginia» da Notti Fugaci.
Scopri il libro dal link in bio.
#DiariDiPelle #NottiFugaci #BookTokItalia #LibriTikTok</x:v>
      </x:c>
      <x:c r="Q53" s="81" t="str">
        <x:f>'TESTI'!J9</x:f>
        <x:v>https://diaridipelle.it/notti-fugaci.html</x:v>
      </x:c>
      <x:c r="R53" s="81" t="str">
        <x:v>TikTok Studio</x:v>
      </x:c>
      <x:c r="S53" s="117" t="str">
        <x:v>Programmabile entro 10 giorni</x:v>
      </x:c>
      <x:c r="T53" s="117" t="str">
        <x:v>Da fare</x:v>
      </x:c>
      <x:c r="U53" s="81" t="str">
        <x:v>Non aggiungere watermark. Controlla anteprima verticale e audio.</x:v>
      </x:c>
      <x:c r="V53" s="81" t="str">
        <x:f>IF(AND(E53&lt;TODAY(),T53&lt;&gt;"Pubblicato"),"SÌ","")</x:f>
      </x:c>
    </x:row>
    <x:row r="54" ht="78" customHeight="1">
      <x:c r="A54" s="117" t="str">
        <x:v>T053</x:v>
      </x:c>
      <x:c r="B54" s="117" t="n">
        <x:v>4</x:v>
      </x:c>
      <x:c r="C54" s="118" t="n">
        <x:f>'CAMPAGNE'!I9</x:f>
        <x:v>46263</x:v>
      </x:c>
      <x:c r="D54" s="119" t="n">
        <x:v>0.4965277777777778</x:v>
      </x:c>
      <x:c r="E54" s="120" t="n">
        <x:f>'CAMPAGNE'!I9</x:f>
        <x:v>46263</x:v>
      </x:c>
      <x:c r="F54" s="117" t="str">
        <x:f>CHOOSE(WEEKDAY(E54,2),"Lunedì","Martedì","Mercoledì","Giovedì","Venerdì","Sabato","Domenica")</x:f>
        <x:v>Sabato</x:v>
      </x:c>
      <x:c r="G54" s="119" t="n">
        <x:v>0.5</x:v>
      </x:c>
      <x:c r="H54" s="117" t="str">
        <x:v>Instagram</x:v>
      </x:c>
      <x:c r="I54" s="117" t="str">
        <x:v>Storia</x:v>
      </x:c>
      <x:c r="J54" s="81" t="str">
        <x:v>Notti Fugaci</x:v>
      </x:c>
      <x:c r="K54" s="117" t="str">
        <x:v>CH07</x:v>
      </x:c>
      <x:c r="L54" s="81" t="str">
        <x:v>Virginia</x:v>
      </x:c>
      <x:c r="M54" s="81" t="str">
        <x:v>Carica l'immagine, aggiungi l'adesivo Link e pubblica.</x:v>
      </x:c>
      <x:c r="N54" s="81" t="str">
        <x:v>Notti_Fugaci_Social_Pack/04_STORIES/CH07_story.jpg</x:v>
      </x:c>
      <x:c r="O54" s="81" t="str">
        <x:v>Notti_Fugaci_Social_Pack/05_CAPTIONS/CH07_story_link.txt</x:v>
      </x:c>
      <x:c r="P54" s="81" t="str">
        <x:f>'TESTI'!N9</x:f>
        <x:v>Tocca SCOPRI IL LIBRO e scegli cartaceo o Kindle.</x:v>
      </x:c>
      <x:c r="Q54" s="81" t="str">
        <x:f>'TESTI'!H9</x:f>
        <x:v>https://diaridipelle.it/notti-fugaci.html?utm_source=instagram&amp;utm_medium=story&amp;utm_campaign=notti_fugaci&amp;utm_content=ch07</x:v>
      </x:c>
      <x:c r="R54" s="81" t="str">
        <x:v>App Instagram</x:v>
      </x:c>
      <x:c r="S54" s="117" t="str">
        <x:v>Manuale</x:v>
      </x:c>
      <x:c r="T54" s="117" t="str">
        <x:v>Da fare</x:v>
      </x:c>
      <x:c r="U54" s="81" t="str">
        <x:v>La data lavoro è lo stesso giorno, 5 minuti prima. Testo adesivo: SCOPRI IL LIBRO.</x:v>
      </x:c>
      <x:c r="V54" s="81" t="str">
        <x:f>IF(AND(E54&lt;TODAY(),T54&lt;&gt;"Pubblicato"),"SÌ","")</x:f>
      </x:c>
    </x:row>
    <x:row r="55" ht="78" customHeight="1">
      <x:c r="A55" s="117" t="str">
        <x:v>T054</x:v>
      </x:c>
      <x:c r="B55" s="117" t="n">
        <x:v>4</x:v>
      </x:c>
      <x:c r="C55" s="118" t="n">
        <x:f>'CAMPAGNE'!F9</x:f>
        <x:v>46236</x:v>
      </x:c>
      <x:c r="D55" s="119" t="n">
        <x:v>0.75</x:v>
      </x:c>
      <x:c r="E55" s="120" t="n">
        <x:f>'CAMPAGNE'!I9</x:f>
        <x:v>46263</x:v>
      </x:c>
      <x:c r="F55" s="117" t="str">
        <x:f>CHOOSE(WEEKDAY(E55,2),"Lunedì","Martedì","Mercoledì","Giovedì","Venerdì","Sabato","Domenica")</x:f>
        <x:v>Sabato</x:v>
      </x:c>
      <x:c r="G55" s="119" t="n">
        <x:v>0.5</x:v>
      </x:c>
      <x:c r="H55" s="117" t="str">
        <x:v>Facebook</x:v>
      </x:c>
      <x:c r="I55" s="117" t="str">
        <x:v>Storia</x:v>
      </x:c>
      <x:c r="J55" s="81" t="str">
        <x:v>Notti Fugaci</x:v>
      </x:c>
      <x:c r="K55" s="117" t="str">
        <x:v>CH07</x:v>
      </x:c>
      <x:c r="L55" s="81" t="str">
        <x:v>Virginia</x:v>
      </x:c>
      <x:c r="M55" s="81" t="str">
        <x:v>Crea una Storia della Pagina, carica l'immagine, aggiungi il link e programma.</x:v>
      </x:c>
      <x:c r="N55" s="81" t="str">
        <x:v>Notti_Fugaci_Social_Pack/04_STORIES/CH07_story.jpg</x:v>
      </x:c>
      <x:c r="O55" s="81" t="str">
        <x:v>Notti_Fugaci_Social_Pack/05_CAPTIONS/CH07_story_link.txt</x:v>
      </x:c>
      <x:c r="P55" s="81" t="str">
        <x:f>'TESTI'!N9</x:f>
        <x:v>Tocca SCOPRI IL LIBRO e scegli cartaceo o Kindle.</x:v>
      </x:c>
      <x:c r="Q55" s="81" t="str">
        <x:f>'TESTI'!I9</x:f>
        <x:v>https://diaridipelle.it/notti-fugaci.html?utm_source=facebook&amp;utm_medium=story&amp;utm_campaign=notti_fugaci&amp;utm_content=ch07</x:v>
      </x:c>
      <x:c r="R55" s="81" t="str">
        <x:v>Meta Business Suite</x:v>
      </x:c>
      <x:c r="S55" s="117" t="str">
        <x:v>Programmabile</x:v>
      </x:c>
      <x:c r="T55" s="117" t="str">
        <x:v>Da fare</x:v>
      </x:c>
      <x:c r="U55" s="81" t="str">
        <x:v>Controlla che la destinazione sia la Pagina Facebook.</x:v>
      </x:c>
      <x:c r="V55" s="81" t="str">
        <x:f>IF(AND(E55&lt;TODAY(),T55&lt;&gt;"Pubblicato"),"SÌ","")</x:f>
      </x:c>
    </x:row>
    <x:row r="56" ht="78" customHeight="1">
      <x:c r="A56" s="117" t="str">
        <x:v>T055</x:v>
      </x:c>
      <x:c r="B56" s="117" t="n">
        <x:v>4</x:v>
      </x:c>
      <x:c r="C56" s="118" t="n">
        <x:f>'CAMPAGNE'!F9</x:f>
        <x:v>46236</x:v>
      </x:c>
      <x:c r="D56" s="119" t="n">
        <x:v>0.75</x:v>
      </x:c>
      <x:c r="E56" s="120" t="n">
        <x:f>'CAMPAGNE'!J9</x:f>
        <x:v>46264</x:v>
      </x:c>
      <x:c r="F56" s="117" t="str">
        <x:f>CHOOSE(WEEKDAY(E56,2),"Lunedì","Martedì","Mercoledì","Giovedì","Venerdì","Sabato","Domenica")</x:f>
        <x:v>Domenica</x:v>
      </x:c>
      <x:c r="G56" s="119" t="n">
        <x:v>0.4583333333333333</x:v>
      </x:c>
      <x:c r="H56" s="117" t="str">
        <x:v>Instagram</x:v>
      </x:c>
      <x:c r="I56" s="117" t="str">
        <x:v>Carosello</x:v>
      </x:c>
      <x:c r="J56" s="81" t="str">
        <x:v>Notti Fugaci</x:v>
      </x:c>
      <x:c r="K56" s="117" t="str">
        <x:v>CH07</x:v>
      </x:c>
      <x:c r="L56" s="81" t="str">
        <x:v>Virginia</x:v>
      </x:c>
      <x:c r="M56" s="81" t="str">
        <x:v>Carica le tre immagini nell'ordine 01, 02, 03; incolla la caption e programma.</x:v>
      </x:c>
      <x:c r="N56" s="81" t="str">
        <x:v>Notti_Fugaci_Social_Pack/03_CAROUSELS/CH07/CH07_01.jpg
Notti_Fugaci_Social_Pack/03_CAROUSELS/CH07/CH07_02.jpg
Notti_Fugaci_Social_Pack/03_CAROUSELS/CH07/CH07_03.jpg</x:v>
      </x:c>
      <x:c r="O56" s="81" t="str">
        <x:v>Ordine obbligatorio: 01 → 02 → 03</x:v>
      </x:c>
      <x:c r="P56" s="81" t="str">
        <x:f>'TESTI'!E9</x:f>
        <x:v>Barcellona sembrava dire una cosa semplice: non andare dove il sentiero è già segnato.
Virginia arriva con lo sguardo verde, l'odore d'incenso e la sicurezza di chi non ha bisogno di promettere il giorno dopo. Una notte può essere completa anche quando non vuole diventare futuro.
Il settimo capitolo di Notti Fugaci è una traccia lasciata senza chiedere di essere seguita.
Continua dal link nel profilo.
#DiariDiPelle #NottiFugaci #Virginia #Barcellona #NarrativaItaliana</x:v>
      </x:c>
      <x:c r="Q56" s="81" t="str">
        <x:f>'TESTI'!J9</x:f>
        <x:v>https://diaridipelle.it/notti-fugaci.html</x:v>
      </x:c>
      <x:c r="R56" s="81" t="str">
        <x:v>App Instagram</x:v>
      </x:c>
      <x:c r="S56" s="117" t="str">
        <x:v>Programmabile</x:v>
      </x:c>
      <x:c r="T56" s="117" t="str">
        <x:v>Da fare</x:v>
      </x:c>
      <x:c r="U56" s="81" t="str">
        <x:v>Verifica che nessuna slide sia tagliata. Il link è nel profilo.</x:v>
      </x:c>
      <x:c r="V56" s="81" t="str">
        <x:f>IF(AND(E56&lt;TODAY(),T56&lt;&gt;"Pubblicato"),"SÌ","")</x:f>
      </x:c>
    </x:row>
    <x:row r="57" ht="78" customHeight="1">
      <x:c r="A57" s="117" t="str">
        <x:v>T056</x:v>
      </x:c>
      <x:c r="B57" s="117" t="n">
        <x:v>4</x:v>
      </x:c>
      <x:c r="C57" s="118" t="n">
        <x:f>'CAMPAGNE'!F9</x:f>
        <x:v>46236</x:v>
      </x:c>
      <x:c r="D57" s="119" t="n">
        <x:v>0.75</x:v>
      </x:c>
      <x:c r="E57" s="120" t="n">
        <x:f>'CAMPAGNE'!J9</x:f>
        <x:v>46264</x:v>
      </x:c>
      <x:c r="F57" s="117" t="str">
        <x:f>CHOOSE(WEEKDAY(E57,2),"Lunedì","Martedì","Mercoledì","Giovedì","Venerdì","Sabato","Domenica")</x:f>
        <x:v>Domenica</x:v>
      </x:c>
      <x:c r="G57" s="119" t="n">
        <x:v>0.4583333333333333</x:v>
      </x:c>
      <x:c r="H57" s="117" t="str">
        <x:v>Facebook</x:v>
      </x:c>
      <x:c r="I57" s="117" t="str">
        <x:v>Carosello</x:v>
      </x:c>
      <x:c r="J57" s="81" t="str">
        <x:v>Notti Fugaci</x:v>
      </x:c>
      <x:c r="K57" s="117" t="str">
        <x:v>CH07</x:v>
      </x:c>
      <x:c r="L57" s="81" t="str">
        <x:v>Virginia</x:v>
      </x:c>
      <x:c r="M57" s="81" t="str">
        <x:v>Carica le tre immagini nell'ordine 01, 02, 03; incolla la caption e programma.</x:v>
      </x:c>
      <x:c r="N57" s="81" t="str">
        <x:v>Notti_Fugaci_Social_Pack/03_CAROUSELS/CH07/CH07_01.jpg
Notti_Fugaci_Social_Pack/03_CAROUSELS/CH07/CH07_02.jpg
Notti_Fugaci_Social_Pack/03_CAROUSELS/CH07/CH07_03.jpg</x:v>
      </x:c>
      <x:c r="O57" s="81" t="str">
        <x:v>Ordine obbligatorio: 01 → 02 → 03</x:v>
      </x:c>
      <x:c r="P57" s="81" t="str">
        <x:f>'TESTI'!F9</x:f>
        <x:v>Barcellona sembrava dire una cosa semplice: non andare dove il sentiero è già segnato.
Virginia arriva con lo sguardo verde, l'odore d'incenso e la sicurezza di chi non ha bisogno di promettere il giorno dopo. Una notte può essere completa anche quando non vuole diventare futuro.
Il settimo capitolo di Notti Fugaci è una traccia lasciata senza chiedere di essere seguita.
Continua dal link nel profilo.
🌐 https://diaridipelle.it/notti-fugaci.html
📕 Cartaceo: https://www.amazon.it/dp/B0GRWP3X7C
📱 Kindle: https://www.amazon.it/dp/B0GRWP6PMK
#DiariDiPelle #NottiFugaci #Virginia #Barcellona #NarrativaItaliana</x:v>
      </x:c>
      <x:c r="Q57" s="81" t="str">
        <x:f>'TESTI'!J9</x:f>
        <x:v>https://diaridipelle.it/notti-fugaci.html</x:v>
      </x:c>
      <x:c r="R57" s="81" t="str">
        <x:v>Meta Business Suite</x:v>
      </x:c>
      <x:c r="S57" s="117" t="str">
        <x:v>Programmabile</x:v>
      </x:c>
      <x:c r="T57" s="117" t="str">
        <x:v>Da fare</x:v>
      </x:c>
      <x:c r="U57" s="81" t="str">
        <x:v>Controlla ordine delle immagini e collegamenti nella caption.</x:v>
      </x:c>
      <x:c r="V57" s="81" t="str">
        <x:f>IF(AND(E57&lt;TODAY(),T57&lt;&gt;"Pubblicato"),"SÌ","")</x:f>
      </x:c>
    </x:row>
    <x:row r="58" ht="78" customHeight="1">
      <x:c r="A58" s="117" t="str">
        <x:v>T057</x:v>
      </x:c>
      <x:c r="B58" s="117" t="n">
        <x:v>5</x:v>
      </x:c>
      <x:c r="C58" s="118" t="n">
        <x:f>'CAMPAGNE'!F10</x:f>
        <x:v>46264</x:v>
      </x:c>
      <x:c r="D58" s="119" t="n">
        <x:v>0.75</x:v>
      </x:c>
      <x:c r="E58" s="120" t="n">
        <x:f>'CAMPAGNE'!H10</x:f>
        <x:v>46266</x:v>
      </x:c>
      <x:c r="F58" s="117" t="str">
        <x:f>CHOOSE(WEEKDAY(E58,2),"Lunedì","Martedì","Mercoledì","Giovedì","Venerdì","Sabato","Domenica")</x:f>
        <x:v>Martedì</x:v>
      </x:c>
      <x:c r="G58" s="119" t="n">
        <x:v>0.8333333333333334</x:v>
      </x:c>
      <x:c r="H58" s="117" t="str">
        <x:v>Instagram</x:v>
      </x:c>
      <x:c r="I58" s="117" t="str">
        <x:v>Reel</x:v>
      </x:c>
      <x:c r="J58" s="81" t="str">
        <x:v>Notti Fugaci</x:v>
      </x:c>
      <x:c r="K58" s="117" t="str">
        <x:v>CH08</x:v>
      </x:c>
      <x:c r="L58" s="81" t="str">
        <x:v>Hope</x:v>
      </x:c>
      <x:c r="M58" s="81" t="str">
        <x:v>Carica il video, imposta la copertina, incolla la caption e programma.</x:v>
      </x:c>
      <x:c r="N58" s="81" t="str">
        <x:v>Notti_Fugaci_Social_Pack/01_REELS/CH08_reel.mp4</x:v>
      </x:c>
      <x:c r="O58" s="81" t="str">
        <x:v>Notti_Fugaci_Social_Pack/02_REEL_COVERS/CH08_cover.jpg</x:v>
      </x:c>
      <x:c r="P58" s="81" t="str">
        <x:f>'TESTI'!E10</x:f>
        <x:v>Hope aveva già capito tutto. Eppure bastò una bugia elegante per rimandare la verità di qualche ora.
Sotto la luna di Barcellona, desiderio e colpa si confondono fino a diventare la stessa cosa. Ma il corpo ricorda anche quello che le parole cercano di nascondere.
Hope è l'ottavo capitolo di Notti Fugaci: una notte intensa e il prezzo silenzioso delle scelte.
Trovi il libro completo dal link nel profilo.
#DiariDiPelle #NottiFugaci #Hope #NarrativaPsicologica #LibriItaliani</x:v>
      </x:c>
      <x:c r="Q58" s="81" t="str">
        <x:f>'TESTI'!J10</x:f>
        <x:v>https://diaridipelle.it/notti-fugaci.html</x:v>
      </x:c>
      <x:c r="R58" s="81" t="str">
        <x:v>App Instagram</x:v>
      </x:c>
      <x:c r="S58" s="117" t="str">
        <x:v>Programmabile</x:v>
      </x:c>
      <x:c r="T58" s="117" t="str">
        <x:v>Da fare</x:v>
      </x:c>
      <x:c r="U58" s="81" t="str">
        <x:v>Controlla audio, ritaglio 9:16 e anteprima copertina. Il link è nel profilo.</x:v>
      </x:c>
      <x:c r="V58" s="81" t="str">
        <x:f>IF(AND(E58&lt;TODAY(),T58&lt;&gt;"Pubblicato"),"SÌ","")</x:f>
      </x:c>
    </x:row>
    <x:row r="59" ht="78" customHeight="1">
      <x:c r="A59" s="117" t="str">
        <x:v>T058</x:v>
      </x:c>
      <x:c r="B59" s="117" t="n">
        <x:v>5</x:v>
      </x:c>
      <x:c r="C59" s="118" t="n">
        <x:f>'CAMPAGNE'!F10</x:f>
        <x:v>46264</x:v>
      </x:c>
      <x:c r="D59" s="119" t="n">
        <x:v>0.75</x:v>
      </x:c>
      <x:c r="E59" s="120" t="n">
        <x:f>'CAMPAGNE'!H10</x:f>
        <x:v>46266</x:v>
      </x:c>
      <x:c r="F59" s="117" t="str">
        <x:f>CHOOSE(WEEKDAY(E59,2),"Lunedì","Martedì","Mercoledì","Giovedì","Venerdì","Sabato","Domenica")</x:f>
        <x:v>Martedì</x:v>
      </x:c>
      <x:c r="G59" s="119" t="n">
        <x:v>0.8333333333333334</x:v>
      </x:c>
      <x:c r="H59" s="117" t="str">
        <x:v>Facebook</x:v>
      </x:c>
      <x:c r="I59" s="117" t="str">
        <x:v>Reel</x:v>
      </x:c>
      <x:c r="J59" s="81" t="str">
        <x:v>Notti Fugaci</x:v>
      </x:c>
      <x:c r="K59" s="117" t="str">
        <x:v>CH08</x:v>
      </x:c>
      <x:c r="L59" s="81" t="str">
        <x:v>Hope</x:v>
      </x:c>
      <x:c r="M59" s="81" t="str">
        <x:v>Crea un Reel nella Pagina, carica video e copertina, incolla la caption e programma.</x:v>
      </x:c>
      <x:c r="N59" s="81" t="str">
        <x:v>Notti_Fugaci_Social_Pack/01_REELS/CH08_reel.mp4</x:v>
      </x:c>
      <x:c r="O59" s="81" t="str">
        <x:v>Notti_Fugaci_Social_Pack/02_REEL_COVERS/CH08_cover.jpg</x:v>
      </x:c>
      <x:c r="P59" s="81" t="str">
        <x:f>'TESTI'!F10</x:f>
        <x:v>Hope aveva già capito tutto. Eppure bastò una bugia elegante per rimandare la verità di qualche ora.
Sotto la luna di Barcellona, desiderio e colpa si confondono fino a diventare la stessa cosa. Ma il corpo ricorda anche quello che le parole cercano di nascondere.
Hope è l'ottavo capitolo di Notti Fugaci: una notte intensa e il prezzo silenzioso delle scelte.
Trovi il libro completo dal link nel profilo.
🌐 https://diaridipelle.it/notti-fugaci.html
📕 Cartaceo: https://www.amazon.it/dp/B0GRWP3X7C
📱 Kindle: https://www.amazon.it/dp/B0GRWP6PMK
#DiariDiPelle #NottiFugaci #Hope #NarrativaPsicologica #LibriItaliani</x:v>
      </x:c>
      <x:c r="Q59" s="81" t="str">
        <x:f>'TESTI'!J10</x:f>
        <x:v>https://diaridipelle.it/notti-fugaci.html</x:v>
      </x:c>
      <x:c r="R59" s="81" t="str">
        <x:v>Meta Business Suite</x:v>
      </x:c>
      <x:c r="S59" s="117" t="str">
        <x:v>Programmabile</x:v>
      </x:c>
      <x:c r="T59" s="117" t="str">
        <x:v>Da fare</x:v>
      </x:c>
      <x:c r="U59" s="81" t="str">
        <x:v>Pubblica sulla Pagina Facebook. I collegamenti nella caption sono cliccabili.</x:v>
      </x:c>
      <x:c r="V59" s="81" t="str">
        <x:f>IF(AND(E59&lt;TODAY(),T59&lt;&gt;"Pubblicato"),"SÌ","")</x:f>
      </x:c>
    </x:row>
    <x:row r="60" ht="78" customHeight="1">
      <x:c r="A60" s="117" t="str">
        <x:v>T059</x:v>
      </x:c>
      <x:c r="B60" s="117" t="n">
        <x:v>5</x:v>
      </x:c>
      <x:c r="C60" s="118" t="n">
        <x:f>'CAMPAGNE'!G10</x:f>
        <x:v>46264</x:v>
      </x:c>
      <x:c r="D60" s="119" t="n">
        <x:v>0.75</x:v>
      </x:c>
      <x:c r="E60" s="120" t="n">
        <x:f>'CAMPAGNE'!H10</x:f>
        <x:v>46266</x:v>
      </x:c>
      <x:c r="F60" s="117" t="str">
        <x:f>CHOOSE(WEEKDAY(E60,2),"Lunedì","Martedì","Mercoledì","Giovedì","Venerdì","Sabato","Domenica")</x:f>
        <x:v>Martedì</x:v>
      </x:c>
      <x:c r="G60" s="119" t="n">
        <x:v>0.8333333333333334</x:v>
      </x:c>
      <x:c r="H60" s="117" t="str">
        <x:v>TikTok</x:v>
      </x:c>
      <x:c r="I60" s="117" t="str">
        <x:v>Video</x:v>
      </x:c>
      <x:c r="J60" s="81" t="str">
        <x:v>Notti Fugaci</x:v>
      </x:c>
      <x:c r="K60" s="117" t="str">
        <x:v>CH08</x:v>
      </x:c>
      <x:c r="L60" s="81" t="str">
        <x:v>Hope</x:v>
      </x:c>
      <x:c r="M60" s="81" t="str">
        <x:v>Carica il video in TikTok Studio, scegli la copertina, incolla la caption breve e programma.</x:v>
      </x:c>
      <x:c r="N60" s="81" t="str">
        <x:v>Notti_Fugaci_Social_Pack/01_REELS/CH08_reel.mp4</x:v>
      </x:c>
      <x:c r="O60" s="81" t="str">
        <x:v>Notti_Fugaci_Social_Pack/02_REEL_COVERS/CH08_cover.jpg</x:v>
      </x:c>
      <x:c r="P60" s="81" t="str">
        <x:f>'TESTI'!G10</x:f>
        <x:v>Hope aveva già capito tutto. Eppure bastò una bugia elegante per rimandare la verità di qualche ora.
«Hope» da Notti Fugaci.
Scopri il libro dal link in bio.
#DiariDiPelle #NottiFugaci #BookTokItalia #LibriTikTok</x:v>
      </x:c>
      <x:c r="Q60" s="81" t="str">
        <x:f>'TESTI'!J10</x:f>
        <x:v>https://diaridipelle.it/notti-fugaci.html</x:v>
      </x:c>
      <x:c r="R60" s="81" t="str">
        <x:v>TikTok Studio</x:v>
      </x:c>
      <x:c r="S60" s="117" t="str">
        <x:v>Programmabile entro 10 giorni</x:v>
      </x:c>
      <x:c r="T60" s="117" t="str">
        <x:v>Da fare</x:v>
      </x:c>
      <x:c r="U60" s="81" t="str">
        <x:v>Non aggiungere watermark. Controlla anteprima verticale e audio.</x:v>
      </x:c>
      <x:c r="V60" s="81" t="str">
        <x:f>IF(AND(E60&lt;TODAY(),T60&lt;&gt;"Pubblicato"),"SÌ","")</x:f>
      </x:c>
    </x:row>
    <x:row r="61" ht="78" customHeight="1">
      <x:c r="A61" s="117" t="str">
        <x:v>T060</x:v>
      </x:c>
      <x:c r="B61" s="117" t="n">
        <x:v>5</x:v>
      </x:c>
      <x:c r="C61" s="118" t="n">
        <x:f>'CAMPAGNE'!I10</x:f>
        <x:v>46267</x:v>
      </x:c>
      <x:c r="D61" s="119" t="n">
        <x:v>0.4965277777777778</x:v>
      </x:c>
      <x:c r="E61" s="120" t="n">
        <x:f>'CAMPAGNE'!I10</x:f>
        <x:v>46267</x:v>
      </x:c>
      <x:c r="F61" s="117" t="str">
        <x:f>CHOOSE(WEEKDAY(E61,2),"Lunedì","Martedì","Mercoledì","Giovedì","Venerdì","Sabato","Domenica")</x:f>
        <x:v>Mercoledì</x:v>
      </x:c>
      <x:c r="G61" s="119" t="n">
        <x:v>0.5</x:v>
      </x:c>
      <x:c r="H61" s="117" t="str">
        <x:v>Instagram</x:v>
      </x:c>
      <x:c r="I61" s="117" t="str">
        <x:v>Storia</x:v>
      </x:c>
      <x:c r="J61" s="81" t="str">
        <x:v>Notti Fugaci</x:v>
      </x:c>
      <x:c r="K61" s="117" t="str">
        <x:v>CH08</x:v>
      </x:c>
      <x:c r="L61" s="81" t="str">
        <x:v>Hope</x:v>
      </x:c>
      <x:c r="M61" s="81" t="str">
        <x:v>Carica l'immagine, aggiungi l'adesivo Link e pubblica.</x:v>
      </x:c>
      <x:c r="N61" s="81" t="str">
        <x:v>Notti_Fugaci_Social_Pack/04_STORIES/CH08_story.jpg</x:v>
      </x:c>
      <x:c r="O61" s="81" t="str">
        <x:v>Notti_Fugaci_Social_Pack/05_CAPTIONS/CH08_story_link.txt</x:v>
      </x:c>
      <x:c r="P61" s="81" t="str">
        <x:f>'TESTI'!N10</x:f>
        <x:v>Tocca SCOPRI IL LIBRO e scegli cartaceo o Kindle.</x:v>
      </x:c>
      <x:c r="Q61" s="81" t="str">
        <x:f>'TESTI'!H10</x:f>
        <x:v>https://diaridipelle.it/notti-fugaci.html?utm_source=instagram&amp;utm_medium=story&amp;utm_campaign=notti_fugaci&amp;utm_content=ch08</x:v>
      </x:c>
      <x:c r="R61" s="81" t="str">
        <x:v>App Instagram</x:v>
      </x:c>
      <x:c r="S61" s="117" t="str">
        <x:v>Manuale</x:v>
      </x:c>
      <x:c r="T61" s="117" t="str">
        <x:v>Da fare</x:v>
      </x:c>
      <x:c r="U61" s="81" t="str">
        <x:v>La data lavoro è lo stesso giorno, 5 minuti prima. Testo adesivo: SCOPRI IL LIBRO.</x:v>
      </x:c>
      <x:c r="V61" s="81" t="str">
        <x:f>IF(AND(E61&lt;TODAY(),T61&lt;&gt;"Pubblicato"),"SÌ","")</x:f>
      </x:c>
    </x:row>
    <x:row r="62" ht="78" customHeight="1">
      <x:c r="A62" s="117" t="str">
        <x:v>T061</x:v>
      </x:c>
      <x:c r="B62" s="117" t="n">
        <x:v>5</x:v>
      </x:c>
      <x:c r="C62" s="118" t="n">
        <x:f>'CAMPAGNE'!F10</x:f>
        <x:v>46264</x:v>
      </x:c>
      <x:c r="D62" s="119" t="n">
        <x:v>0.75</x:v>
      </x:c>
      <x:c r="E62" s="120" t="n">
        <x:f>'CAMPAGNE'!I10</x:f>
        <x:v>46267</x:v>
      </x:c>
      <x:c r="F62" s="117" t="str">
        <x:f>CHOOSE(WEEKDAY(E62,2),"Lunedì","Martedì","Mercoledì","Giovedì","Venerdì","Sabato","Domenica")</x:f>
        <x:v>Mercoledì</x:v>
      </x:c>
      <x:c r="G62" s="119" t="n">
        <x:v>0.5</x:v>
      </x:c>
      <x:c r="H62" s="117" t="str">
        <x:v>Facebook</x:v>
      </x:c>
      <x:c r="I62" s="117" t="str">
        <x:v>Storia</x:v>
      </x:c>
      <x:c r="J62" s="81" t="str">
        <x:v>Notti Fugaci</x:v>
      </x:c>
      <x:c r="K62" s="117" t="str">
        <x:v>CH08</x:v>
      </x:c>
      <x:c r="L62" s="81" t="str">
        <x:v>Hope</x:v>
      </x:c>
      <x:c r="M62" s="81" t="str">
        <x:v>Crea una Storia della Pagina, carica l'immagine, aggiungi il link e programma.</x:v>
      </x:c>
      <x:c r="N62" s="81" t="str">
        <x:v>Notti_Fugaci_Social_Pack/04_STORIES/CH08_story.jpg</x:v>
      </x:c>
      <x:c r="O62" s="81" t="str">
        <x:v>Notti_Fugaci_Social_Pack/05_CAPTIONS/CH08_story_link.txt</x:v>
      </x:c>
      <x:c r="P62" s="81" t="str">
        <x:f>'TESTI'!N10</x:f>
        <x:v>Tocca SCOPRI IL LIBRO e scegli cartaceo o Kindle.</x:v>
      </x:c>
      <x:c r="Q62" s="81" t="str">
        <x:f>'TESTI'!I10</x:f>
        <x:v>https://diaridipelle.it/notti-fugaci.html?utm_source=facebook&amp;utm_medium=story&amp;utm_campaign=notti_fugaci&amp;utm_content=ch08</x:v>
      </x:c>
      <x:c r="R62" s="81" t="str">
        <x:v>Meta Business Suite</x:v>
      </x:c>
      <x:c r="S62" s="117" t="str">
        <x:v>Programmabile</x:v>
      </x:c>
      <x:c r="T62" s="117" t="str">
        <x:v>Da fare</x:v>
      </x:c>
      <x:c r="U62" s="81" t="str">
        <x:v>Controlla che la destinazione sia la Pagina Facebook.</x:v>
      </x:c>
      <x:c r="V62" s="81" t="str">
        <x:f>IF(AND(E62&lt;TODAY(),T62&lt;&gt;"Pubblicato"),"SÌ","")</x:f>
      </x:c>
    </x:row>
    <x:row r="63" ht="78" customHeight="1">
      <x:c r="A63" s="117" t="str">
        <x:v>T062</x:v>
      </x:c>
      <x:c r="B63" s="117" t="n">
        <x:v>5</x:v>
      </x:c>
      <x:c r="C63" s="118" t="n">
        <x:f>'CAMPAGNE'!F10</x:f>
        <x:v>46264</x:v>
      </x:c>
      <x:c r="D63" s="119" t="n">
        <x:v>0.75</x:v>
      </x:c>
      <x:c r="E63" s="120" t="n">
        <x:f>'CAMPAGNE'!J10</x:f>
        <x:v>46268</x:v>
      </x:c>
      <x:c r="F63" s="117" t="str">
        <x:f>CHOOSE(WEEKDAY(E63,2),"Lunedì","Martedì","Mercoledì","Giovedì","Venerdì","Sabato","Domenica")</x:f>
        <x:v>Giovedì</x:v>
      </x:c>
      <x:c r="G63" s="119" t="n">
        <x:v>0.8333333333333334</x:v>
      </x:c>
      <x:c r="H63" s="117" t="str">
        <x:v>Instagram</x:v>
      </x:c>
      <x:c r="I63" s="117" t="str">
        <x:v>Carosello</x:v>
      </x:c>
      <x:c r="J63" s="81" t="str">
        <x:v>Notti Fugaci</x:v>
      </x:c>
      <x:c r="K63" s="117" t="str">
        <x:v>CH08</x:v>
      </x:c>
      <x:c r="L63" s="81" t="str">
        <x:v>Hope</x:v>
      </x:c>
      <x:c r="M63" s="81" t="str">
        <x:v>Carica le tre immagini nell'ordine 01, 02, 03; incolla la caption e programma.</x:v>
      </x:c>
      <x:c r="N63" s="81" t="str">
        <x:v>Notti_Fugaci_Social_Pack/03_CAROUSELS/CH08/CH08_01.jpg
Notti_Fugaci_Social_Pack/03_CAROUSELS/CH08/CH08_02.jpg
Notti_Fugaci_Social_Pack/03_CAROUSELS/CH08/CH08_03.jpg</x:v>
      </x:c>
      <x:c r="O63" s="81" t="str">
        <x:v>Ordine obbligatorio: 01 → 02 → 03</x:v>
      </x:c>
      <x:c r="P63" s="81" t="str">
        <x:f>'TESTI'!E10</x:f>
        <x:v>Hope aveva già capito tutto. Eppure bastò una bugia elegante per rimandare la verità di qualche ora.
Sotto la luna di Barcellona, desiderio e colpa si confondono fino a diventare la stessa cosa. Ma il corpo ricorda anche quello che le parole cercano di nascondere.
Hope è l'ottavo capitolo di Notti Fugaci: una notte intensa e il prezzo silenzioso delle scelte.
Trovi il libro completo dal link nel profilo.
#DiariDiPelle #NottiFugaci #Hope #NarrativaPsicologica #LibriItaliani</x:v>
      </x:c>
      <x:c r="Q63" s="81" t="str">
        <x:f>'TESTI'!J10</x:f>
        <x:v>https://diaridipelle.it/notti-fugaci.html</x:v>
      </x:c>
      <x:c r="R63" s="81" t="str">
        <x:v>App Instagram</x:v>
      </x:c>
      <x:c r="S63" s="117" t="str">
        <x:v>Programmabile</x:v>
      </x:c>
      <x:c r="T63" s="117" t="str">
        <x:v>Da fare</x:v>
      </x:c>
      <x:c r="U63" s="81" t="str">
        <x:v>Verifica che nessuna slide sia tagliata. Il link è nel profilo.</x:v>
      </x:c>
      <x:c r="V63" s="81" t="str">
        <x:f>IF(AND(E63&lt;TODAY(),T63&lt;&gt;"Pubblicato"),"SÌ","")</x:f>
      </x:c>
    </x:row>
    <x:row r="64" ht="78" customHeight="1">
      <x:c r="A64" s="117" t="str">
        <x:v>T063</x:v>
      </x:c>
      <x:c r="B64" s="117" t="n">
        <x:v>5</x:v>
      </x:c>
      <x:c r="C64" s="118" t="n">
        <x:f>'CAMPAGNE'!F10</x:f>
        <x:v>46264</x:v>
      </x:c>
      <x:c r="D64" s="119" t="n">
        <x:v>0.75</x:v>
      </x:c>
      <x:c r="E64" s="120" t="n">
        <x:f>'CAMPAGNE'!J10</x:f>
        <x:v>46268</x:v>
      </x:c>
      <x:c r="F64" s="117" t="str">
        <x:f>CHOOSE(WEEKDAY(E64,2),"Lunedì","Martedì","Mercoledì","Giovedì","Venerdì","Sabato","Domenica")</x:f>
        <x:v>Giovedì</x:v>
      </x:c>
      <x:c r="G64" s="119" t="n">
        <x:v>0.8333333333333334</x:v>
      </x:c>
      <x:c r="H64" s="117" t="str">
        <x:v>Facebook</x:v>
      </x:c>
      <x:c r="I64" s="117" t="str">
        <x:v>Carosello</x:v>
      </x:c>
      <x:c r="J64" s="81" t="str">
        <x:v>Notti Fugaci</x:v>
      </x:c>
      <x:c r="K64" s="117" t="str">
        <x:v>CH08</x:v>
      </x:c>
      <x:c r="L64" s="81" t="str">
        <x:v>Hope</x:v>
      </x:c>
      <x:c r="M64" s="81" t="str">
        <x:v>Carica le tre immagini nell'ordine 01, 02, 03; incolla la caption e programma.</x:v>
      </x:c>
      <x:c r="N64" s="81" t="str">
        <x:v>Notti_Fugaci_Social_Pack/03_CAROUSELS/CH08/CH08_01.jpg
Notti_Fugaci_Social_Pack/03_CAROUSELS/CH08/CH08_02.jpg
Notti_Fugaci_Social_Pack/03_CAROUSELS/CH08/CH08_03.jpg</x:v>
      </x:c>
      <x:c r="O64" s="81" t="str">
        <x:v>Ordine obbligatorio: 01 → 02 → 03</x:v>
      </x:c>
      <x:c r="P64" s="81" t="str">
        <x:f>'TESTI'!F10</x:f>
        <x:v>Hope aveva già capito tutto. Eppure bastò una bugia elegante per rimandare la verità di qualche ora.
Sotto la luna di Barcellona, desiderio e colpa si confondono fino a diventare la stessa cosa. Ma il corpo ricorda anche quello che le parole cercano di nascondere.
Hope è l'ottavo capitolo di Notti Fugaci: una notte intensa e il prezzo silenzioso delle scelte.
Trovi il libro completo dal link nel profilo.
🌐 https://diaridipelle.it/notti-fugaci.html
📕 Cartaceo: https://www.amazon.it/dp/B0GRWP3X7C
📱 Kindle: https://www.amazon.it/dp/B0GRWP6PMK
#DiariDiPelle #NottiFugaci #Hope #NarrativaPsicologica #LibriItaliani</x:v>
      </x:c>
      <x:c r="Q64" s="81" t="str">
        <x:f>'TESTI'!J10</x:f>
        <x:v>https://diaridipelle.it/notti-fugaci.html</x:v>
      </x:c>
      <x:c r="R64" s="81" t="str">
        <x:v>Meta Business Suite</x:v>
      </x:c>
      <x:c r="S64" s="117" t="str">
        <x:v>Programmabile</x:v>
      </x:c>
      <x:c r="T64" s="117" t="str">
        <x:v>Da fare</x:v>
      </x:c>
      <x:c r="U64" s="81" t="str">
        <x:v>Controlla ordine delle immagini e collegamenti nella caption.</x:v>
      </x:c>
      <x:c r="V64" s="81" t="str">
        <x:f>IF(AND(E64&lt;TODAY(),T64&lt;&gt;"Pubblicato"),"SÌ","")</x:f>
      </x:c>
    </x:row>
    <x:row r="65" ht="78" customHeight="1">
      <x:c r="A65" s="117" t="str">
        <x:v>T064</x:v>
      </x:c>
      <x:c r="B65" s="117" t="n">
        <x:v>5</x:v>
      </x:c>
      <x:c r="C65" s="118" t="n">
        <x:f>'CAMPAGNE'!F11</x:f>
        <x:v>46264</x:v>
      </x:c>
      <x:c r="D65" s="119" t="n">
        <x:v>0.75</x:v>
      </x:c>
      <x:c r="E65" s="120" t="n">
        <x:f>'CAMPAGNE'!H11</x:f>
        <x:v>46269</x:v>
      </x:c>
      <x:c r="F65" s="117" t="str">
        <x:f>CHOOSE(WEEKDAY(E65,2),"Lunedì","Martedì","Mercoledì","Giovedì","Venerdì","Sabato","Domenica")</x:f>
        <x:v>Venerdì</x:v>
      </x:c>
      <x:c r="G65" s="119" t="n">
        <x:v>0.8333333333333334</x:v>
      </x:c>
      <x:c r="H65" s="117" t="str">
        <x:v>Instagram</x:v>
      </x:c>
      <x:c r="I65" s="117" t="str">
        <x:v>Reel</x:v>
      </x:c>
      <x:c r="J65" s="81" t="str">
        <x:v>Notti Fugaci</x:v>
      </x:c>
      <x:c r="K65" s="117" t="str">
        <x:v>CH09</x:v>
      </x:c>
      <x:c r="L65" s="81" t="str">
        <x:v>Loida</x:v>
      </x:c>
      <x:c r="M65" s="81" t="str">
        <x:v>Carica il video, imposta la copertina, incolla la caption e programma.</x:v>
      </x:c>
      <x:c r="N65" s="81" t="str">
        <x:v>Notti_Fugaci_Social_Pack/01_REELS/CH09_reel.mp4</x:v>
      </x:c>
      <x:c r="O65" s="81" t="str">
        <x:v>Notti_Fugaci_Social_Pack/02_REEL_COVERS/CH09_cover.jpg</x:v>
      </x:c>
      <x:c r="P65" s="81" t="str">
        <x:f>'TESTI'!E11</x:f>
        <x:v>Loida era il nodo rimasto aperto mentre tutto il resto accadeva.
Desiderarsi e trattenersi. Cercarsi e poi fuggire. Restare sospesi in quel mezzo che finisce per consumare entrambi.
Il nono capitolo di Notti Fugaci racconta un incontro tra due libertà che non riescono ancora a scegliere la stessa direzione.
Scopri la storia completa dal link nel profilo. Disponibile in cartaceo e Kindle.
#DiariDiPelle #NottiFugaci #Loida #Relazioni #NarrativaContemporanea</x:v>
      </x:c>
      <x:c r="Q65" s="81" t="str">
        <x:f>'TESTI'!J11</x:f>
        <x:v>https://diaridipelle.it/notti-fugaci.html</x:v>
      </x:c>
      <x:c r="R65" s="81" t="str">
        <x:v>App Instagram</x:v>
      </x:c>
      <x:c r="S65" s="117" t="str">
        <x:v>Programmabile</x:v>
      </x:c>
      <x:c r="T65" s="117" t="str">
        <x:v>Da fare</x:v>
      </x:c>
      <x:c r="U65" s="81" t="str">
        <x:v>Controlla audio, ritaglio 9:16 e anteprima copertina. Il link è nel profilo.</x:v>
      </x:c>
      <x:c r="V65" s="81" t="str">
        <x:f>IF(AND(E65&lt;TODAY(),T65&lt;&gt;"Pubblicato"),"SÌ","")</x:f>
      </x:c>
    </x:row>
    <x:row r="66" ht="78" customHeight="1">
      <x:c r="A66" s="117" t="str">
        <x:v>T065</x:v>
      </x:c>
      <x:c r="B66" s="117" t="n">
        <x:v>5</x:v>
      </x:c>
      <x:c r="C66" s="118" t="n">
        <x:f>'CAMPAGNE'!F11</x:f>
        <x:v>46264</x:v>
      </x:c>
      <x:c r="D66" s="119" t="n">
        <x:v>0.75</x:v>
      </x:c>
      <x:c r="E66" s="120" t="n">
        <x:f>'CAMPAGNE'!H11</x:f>
        <x:v>46269</x:v>
      </x:c>
      <x:c r="F66" s="117" t="str">
        <x:f>CHOOSE(WEEKDAY(E66,2),"Lunedì","Martedì","Mercoledì","Giovedì","Venerdì","Sabato","Domenica")</x:f>
        <x:v>Venerdì</x:v>
      </x:c>
      <x:c r="G66" s="119" t="n">
        <x:v>0.8333333333333334</x:v>
      </x:c>
      <x:c r="H66" s="117" t="str">
        <x:v>Facebook</x:v>
      </x:c>
      <x:c r="I66" s="117" t="str">
        <x:v>Reel</x:v>
      </x:c>
      <x:c r="J66" s="81" t="str">
        <x:v>Notti Fugaci</x:v>
      </x:c>
      <x:c r="K66" s="117" t="str">
        <x:v>CH09</x:v>
      </x:c>
      <x:c r="L66" s="81" t="str">
        <x:v>Loida</x:v>
      </x:c>
      <x:c r="M66" s="81" t="str">
        <x:v>Crea un Reel nella Pagina, carica video e copertina, incolla la caption e programma.</x:v>
      </x:c>
      <x:c r="N66" s="81" t="str">
        <x:v>Notti_Fugaci_Social_Pack/01_REELS/CH09_reel.mp4</x:v>
      </x:c>
      <x:c r="O66" s="81" t="str">
        <x:v>Notti_Fugaci_Social_Pack/02_REEL_COVERS/CH09_cover.jpg</x:v>
      </x:c>
      <x:c r="P66" s="81" t="str">
        <x:f>'TESTI'!F11</x:f>
        <x:v>Loida era il nodo rimasto aperto mentre tutto il resto accadeva.
Desiderarsi e trattenersi. Cercarsi e poi fuggire. Restare sospesi in quel mezzo che finisce per consumare entrambi.
Il nono capitolo di Notti Fugaci racconta un incontro tra due libertà che non riescono ancora a scegliere la stessa direzione.
Scopri la storia completa dal link nel profilo. Disponibile in cartaceo e Kindle.
🌐 https://diaridipelle.it/notti-fugaci.html
📕 Cartaceo: https://www.amazon.it/dp/B0GRWP3X7C
📱 Kindle: https://www.amazon.it/dp/B0GRWP6PMK
#DiariDiPelle #NottiFugaci #Loida #Relazioni #NarrativaContemporanea</x:v>
      </x:c>
      <x:c r="Q66" s="81" t="str">
        <x:f>'TESTI'!J11</x:f>
        <x:v>https://diaridipelle.it/notti-fugaci.html</x:v>
      </x:c>
      <x:c r="R66" s="81" t="str">
        <x:v>Meta Business Suite</x:v>
      </x:c>
      <x:c r="S66" s="117" t="str">
        <x:v>Programmabile</x:v>
      </x:c>
      <x:c r="T66" s="117" t="str">
        <x:v>Da fare</x:v>
      </x:c>
      <x:c r="U66" s="81" t="str">
        <x:v>Pubblica sulla Pagina Facebook. I collegamenti nella caption sono cliccabili.</x:v>
      </x:c>
      <x:c r="V66" s="81" t="str">
        <x:f>IF(AND(E66&lt;TODAY(),T66&lt;&gt;"Pubblicato"),"SÌ","")</x:f>
      </x:c>
    </x:row>
    <x:row r="67" ht="78" customHeight="1">
      <x:c r="A67" s="117" t="str">
        <x:v>T066</x:v>
      </x:c>
      <x:c r="B67" s="117" t="n">
        <x:v>5</x:v>
      </x:c>
      <x:c r="C67" s="118" t="n">
        <x:f>'CAMPAGNE'!G11</x:f>
        <x:v>46264</x:v>
      </x:c>
      <x:c r="D67" s="119" t="n">
        <x:v>0.75</x:v>
      </x:c>
      <x:c r="E67" s="120" t="n">
        <x:f>'CAMPAGNE'!H11</x:f>
        <x:v>46269</x:v>
      </x:c>
      <x:c r="F67" s="117" t="str">
        <x:f>CHOOSE(WEEKDAY(E67,2),"Lunedì","Martedì","Mercoledì","Giovedì","Venerdì","Sabato","Domenica")</x:f>
        <x:v>Venerdì</x:v>
      </x:c>
      <x:c r="G67" s="119" t="n">
        <x:v>0.8333333333333334</x:v>
      </x:c>
      <x:c r="H67" s="117" t="str">
        <x:v>TikTok</x:v>
      </x:c>
      <x:c r="I67" s="117" t="str">
        <x:v>Video</x:v>
      </x:c>
      <x:c r="J67" s="81" t="str">
        <x:v>Notti Fugaci</x:v>
      </x:c>
      <x:c r="K67" s="117" t="str">
        <x:v>CH09</x:v>
      </x:c>
      <x:c r="L67" s="81" t="str">
        <x:v>Loida</x:v>
      </x:c>
      <x:c r="M67" s="81" t="str">
        <x:v>Carica il video in TikTok Studio, scegli la copertina, incolla la caption breve e programma.</x:v>
      </x:c>
      <x:c r="N67" s="81" t="str">
        <x:v>Notti_Fugaci_Social_Pack/01_REELS/CH09_reel.mp4</x:v>
      </x:c>
      <x:c r="O67" s="81" t="str">
        <x:v>Notti_Fugaci_Social_Pack/02_REEL_COVERS/CH09_cover.jpg</x:v>
      </x:c>
      <x:c r="P67" s="81" t="str">
        <x:f>'TESTI'!G11</x:f>
        <x:v>Loida era il nodo rimasto aperto mentre tutto il resto accadeva.
«Loida» da Notti Fugaci.
Scopri il libro dal link in bio.
#DiariDiPelle #NottiFugaci #BookTokItalia #LibriTikTok</x:v>
      </x:c>
      <x:c r="Q67" s="81" t="str">
        <x:f>'TESTI'!J11</x:f>
        <x:v>https://diaridipelle.it/notti-fugaci.html</x:v>
      </x:c>
      <x:c r="R67" s="81" t="str">
        <x:v>TikTok Studio</x:v>
      </x:c>
      <x:c r="S67" s="117" t="str">
        <x:v>Programmabile entro 10 giorni</x:v>
      </x:c>
      <x:c r="T67" s="117" t="str">
        <x:v>Da fare</x:v>
      </x:c>
      <x:c r="U67" s="81" t="str">
        <x:v>Non aggiungere watermark. Controlla anteprima verticale e audio.</x:v>
      </x:c>
      <x:c r="V67" s="81" t="str">
        <x:f>IF(AND(E67&lt;TODAY(),T67&lt;&gt;"Pubblicato"),"SÌ","")</x:f>
      </x:c>
    </x:row>
    <x:row r="68" ht="78" customHeight="1">
      <x:c r="A68" s="117" t="str">
        <x:v>T067</x:v>
      </x:c>
      <x:c r="B68" s="117" t="n">
        <x:v>5</x:v>
      </x:c>
      <x:c r="C68" s="118" t="n">
        <x:f>'CAMPAGNE'!I11</x:f>
        <x:v>46270</x:v>
      </x:c>
      <x:c r="D68" s="119" t="n">
        <x:v>0.4965277777777778</x:v>
      </x:c>
      <x:c r="E68" s="120" t="n">
        <x:f>'CAMPAGNE'!I11</x:f>
        <x:v>46270</x:v>
      </x:c>
      <x:c r="F68" s="117" t="str">
        <x:f>CHOOSE(WEEKDAY(E68,2),"Lunedì","Martedì","Mercoledì","Giovedì","Venerdì","Sabato","Domenica")</x:f>
        <x:v>Sabato</x:v>
      </x:c>
      <x:c r="G68" s="119" t="n">
        <x:v>0.5</x:v>
      </x:c>
      <x:c r="H68" s="117" t="str">
        <x:v>Instagram</x:v>
      </x:c>
      <x:c r="I68" s="117" t="str">
        <x:v>Storia</x:v>
      </x:c>
      <x:c r="J68" s="81" t="str">
        <x:v>Notti Fugaci</x:v>
      </x:c>
      <x:c r="K68" s="117" t="str">
        <x:v>CH09</x:v>
      </x:c>
      <x:c r="L68" s="81" t="str">
        <x:v>Loida</x:v>
      </x:c>
      <x:c r="M68" s="81" t="str">
        <x:v>Carica l'immagine, aggiungi l'adesivo Link e pubblica.</x:v>
      </x:c>
      <x:c r="N68" s="81" t="str">
        <x:v>Notti_Fugaci_Social_Pack/04_STORIES/CH09_story.jpg</x:v>
      </x:c>
      <x:c r="O68" s="81" t="str">
        <x:v>Notti_Fugaci_Social_Pack/05_CAPTIONS/CH09_story_link.txt</x:v>
      </x:c>
      <x:c r="P68" s="81" t="str">
        <x:f>'TESTI'!N11</x:f>
        <x:v>Tocca SCOPRI IL LIBRO e scegli cartaceo o Kindle.</x:v>
      </x:c>
      <x:c r="Q68" s="81" t="str">
        <x:f>'TESTI'!H11</x:f>
        <x:v>https://diaridipelle.it/notti-fugaci.html?utm_source=instagram&amp;utm_medium=story&amp;utm_campaign=notti_fugaci&amp;utm_content=ch09</x:v>
      </x:c>
      <x:c r="R68" s="81" t="str">
        <x:v>App Instagram</x:v>
      </x:c>
      <x:c r="S68" s="117" t="str">
        <x:v>Manuale</x:v>
      </x:c>
      <x:c r="T68" s="117" t="str">
        <x:v>Da fare</x:v>
      </x:c>
      <x:c r="U68" s="81" t="str">
        <x:v>La data lavoro è lo stesso giorno, 5 minuti prima. Testo adesivo: SCOPRI IL LIBRO.</x:v>
      </x:c>
      <x:c r="V68" s="81" t="str">
        <x:f>IF(AND(E68&lt;TODAY(),T68&lt;&gt;"Pubblicato"),"SÌ","")</x:f>
      </x:c>
    </x:row>
    <x:row r="69" ht="78" customHeight="1">
      <x:c r="A69" s="117" t="str">
        <x:v>T068</x:v>
      </x:c>
      <x:c r="B69" s="117" t="n">
        <x:v>5</x:v>
      </x:c>
      <x:c r="C69" s="118" t="n">
        <x:f>'CAMPAGNE'!F11</x:f>
        <x:v>46264</x:v>
      </x:c>
      <x:c r="D69" s="119" t="n">
        <x:v>0.75</x:v>
      </x:c>
      <x:c r="E69" s="120" t="n">
        <x:f>'CAMPAGNE'!I11</x:f>
        <x:v>46270</x:v>
      </x:c>
      <x:c r="F69" s="117" t="str">
        <x:f>CHOOSE(WEEKDAY(E69,2),"Lunedì","Martedì","Mercoledì","Giovedì","Venerdì","Sabato","Domenica")</x:f>
        <x:v>Sabato</x:v>
      </x:c>
      <x:c r="G69" s="119" t="n">
        <x:v>0.5</x:v>
      </x:c>
      <x:c r="H69" s="117" t="str">
        <x:v>Facebook</x:v>
      </x:c>
      <x:c r="I69" s="117" t="str">
        <x:v>Storia</x:v>
      </x:c>
      <x:c r="J69" s="81" t="str">
        <x:v>Notti Fugaci</x:v>
      </x:c>
      <x:c r="K69" s="117" t="str">
        <x:v>CH09</x:v>
      </x:c>
      <x:c r="L69" s="81" t="str">
        <x:v>Loida</x:v>
      </x:c>
      <x:c r="M69" s="81" t="str">
        <x:v>Crea una Storia della Pagina, carica l'immagine, aggiungi il link e programma.</x:v>
      </x:c>
      <x:c r="N69" s="81" t="str">
        <x:v>Notti_Fugaci_Social_Pack/04_STORIES/CH09_story.jpg</x:v>
      </x:c>
      <x:c r="O69" s="81" t="str">
        <x:v>Notti_Fugaci_Social_Pack/05_CAPTIONS/CH09_story_link.txt</x:v>
      </x:c>
      <x:c r="P69" s="81" t="str">
        <x:f>'TESTI'!N11</x:f>
        <x:v>Tocca SCOPRI IL LIBRO e scegli cartaceo o Kindle.</x:v>
      </x:c>
      <x:c r="Q69" s="81" t="str">
        <x:f>'TESTI'!I11</x:f>
        <x:v>https://diaridipelle.it/notti-fugaci.html?utm_source=facebook&amp;utm_medium=story&amp;utm_campaign=notti_fugaci&amp;utm_content=ch09</x:v>
      </x:c>
      <x:c r="R69" s="81" t="str">
        <x:v>Meta Business Suite</x:v>
      </x:c>
      <x:c r="S69" s="117" t="str">
        <x:v>Programmabile</x:v>
      </x:c>
      <x:c r="T69" s="117" t="str">
        <x:v>Da fare</x:v>
      </x:c>
      <x:c r="U69" s="81" t="str">
        <x:v>Controlla che la destinazione sia la Pagina Facebook.</x:v>
      </x:c>
      <x:c r="V69" s="81" t="str">
        <x:f>IF(AND(E69&lt;TODAY(),T69&lt;&gt;"Pubblicato"),"SÌ","")</x:f>
      </x:c>
    </x:row>
    <x:row r="70" ht="78" customHeight="1">
      <x:c r="A70" s="117" t="str">
        <x:v>T069</x:v>
      </x:c>
      <x:c r="B70" s="117" t="n">
        <x:v>5</x:v>
      </x:c>
      <x:c r="C70" s="118" t="n">
        <x:f>'CAMPAGNE'!F11</x:f>
        <x:v>46264</x:v>
      </x:c>
      <x:c r="D70" s="119" t="n">
        <x:v>0.75</x:v>
      </x:c>
      <x:c r="E70" s="120" t="n">
        <x:f>'CAMPAGNE'!J11</x:f>
        <x:v>46271</x:v>
      </x:c>
      <x:c r="F70" s="117" t="str">
        <x:f>CHOOSE(WEEKDAY(E70,2),"Lunedì","Martedì","Mercoledì","Giovedì","Venerdì","Sabato","Domenica")</x:f>
        <x:v>Domenica</x:v>
      </x:c>
      <x:c r="G70" s="119" t="n">
        <x:v>0.4583333333333333</x:v>
      </x:c>
      <x:c r="H70" s="117" t="str">
        <x:v>Instagram</x:v>
      </x:c>
      <x:c r="I70" s="117" t="str">
        <x:v>Carosello</x:v>
      </x:c>
      <x:c r="J70" s="81" t="str">
        <x:v>Notti Fugaci</x:v>
      </x:c>
      <x:c r="K70" s="117" t="str">
        <x:v>CH09</x:v>
      </x:c>
      <x:c r="L70" s="81" t="str">
        <x:v>Loida</x:v>
      </x:c>
      <x:c r="M70" s="81" t="str">
        <x:v>Carica le tre immagini nell'ordine 01, 02, 03; incolla la caption e programma.</x:v>
      </x:c>
      <x:c r="N70" s="81" t="str">
        <x:v>Notti_Fugaci_Social_Pack/03_CAROUSELS/CH09/CH09_01.jpg
Notti_Fugaci_Social_Pack/03_CAROUSELS/CH09/CH09_02.jpg
Notti_Fugaci_Social_Pack/03_CAROUSELS/CH09/CH09_03.jpg</x:v>
      </x:c>
      <x:c r="O70" s="81" t="str">
        <x:v>Ordine obbligatorio: 01 → 02 → 03</x:v>
      </x:c>
      <x:c r="P70" s="81" t="str">
        <x:f>'TESTI'!E11</x:f>
        <x:v>Loida era il nodo rimasto aperto mentre tutto il resto accadeva.
Desiderarsi e trattenersi. Cercarsi e poi fuggire. Restare sospesi in quel mezzo che finisce per consumare entrambi.
Il nono capitolo di Notti Fugaci racconta un incontro tra due libertà che non riescono ancora a scegliere la stessa direzione.
Scopri la storia completa dal link nel profilo. Disponibile in cartaceo e Kindle.
#DiariDiPelle #NottiFugaci #Loida #Relazioni #NarrativaContemporanea</x:v>
      </x:c>
      <x:c r="Q70" s="81" t="str">
        <x:f>'TESTI'!J11</x:f>
        <x:v>https://diaridipelle.it/notti-fugaci.html</x:v>
      </x:c>
      <x:c r="R70" s="81" t="str">
        <x:v>App Instagram</x:v>
      </x:c>
      <x:c r="S70" s="117" t="str">
        <x:v>Programmabile</x:v>
      </x:c>
      <x:c r="T70" s="117" t="str">
        <x:v>Da fare</x:v>
      </x:c>
      <x:c r="U70" s="81" t="str">
        <x:v>Verifica che nessuna slide sia tagliata. Il link è nel profilo.</x:v>
      </x:c>
      <x:c r="V70" s="81" t="str">
        <x:f>IF(AND(E70&lt;TODAY(),T70&lt;&gt;"Pubblicato"),"SÌ","")</x:f>
      </x:c>
    </x:row>
    <x:row r="71" ht="78" customHeight="1">
      <x:c r="A71" s="117" t="str">
        <x:v>T070</x:v>
      </x:c>
      <x:c r="B71" s="117" t="n">
        <x:v>5</x:v>
      </x:c>
      <x:c r="C71" s="118" t="n">
        <x:f>'CAMPAGNE'!F11</x:f>
        <x:v>46264</x:v>
      </x:c>
      <x:c r="D71" s="119" t="n">
        <x:v>0.75</x:v>
      </x:c>
      <x:c r="E71" s="120" t="n">
        <x:f>'CAMPAGNE'!J11</x:f>
        <x:v>46271</x:v>
      </x:c>
      <x:c r="F71" s="117" t="str">
        <x:f>CHOOSE(WEEKDAY(E71,2),"Lunedì","Martedì","Mercoledì","Giovedì","Venerdì","Sabato","Domenica")</x:f>
        <x:v>Domenica</x:v>
      </x:c>
      <x:c r="G71" s="119" t="n">
        <x:v>0.4583333333333333</x:v>
      </x:c>
      <x:c r="H71" s="117" t="str">
        <x:v>Facebook</x:v>
      </x:c>
      <x:c r="I71" s="117" t="str">
        <x:v>Carosello</x:v>
      </x:c>
      <x:c r="J71" s="81" t="str">
        <x:v>Notti Fugaci</x:v>
      </x:c>
      <x:c r="K71" s="117" t="str">
        <x:v>CH09</x:v>
      </x:c>
      <x:c r="L71" s="81" t="str">
        <x:v>Loida</x:v>
      </x:c>
      <x:c r="M71" s="81" t="str">
        <x:v>Carica le tre immagini nell'ordine 01, 02, 03; incolla la caption e programma.</x:v>
      </x:c>
      <x:c r="N71" s="81" t="str">
        <x:v>Notti_Fugaci_Social_Pack/03_CAROUSELS/CH09/CH09_01.jpg
Notti_Fugaci_Social_Pack/03_CAROUSELS/CH09/CH09_02.jpg
Notti_Fugaci_Social_Pack/03_CAROUSELS/CH09/CH09_03.jpg</x:v>
      </x:c>
      <x:c r="O71" s="81" t="str">
        <x:v>Ordine obbligatorio: 01 → 02 → 03</x:v>
      </x:c>
      <x:c r="P71" s="81" t="str">
        <x:f>'TESTI'!F11</x:f>
        <x:v>Loida era il nodo rimasto aperto mentre tutto il resto accadeva.
Desiderarsi e trattenersi. Cercarsi e poi fuggire. Restare sospesi in quel mezzo che finisce per consumare entrambi.
Il nono capitolo di Notti Fugaci racconta un incontro tra due libertà che non riescono ancora a scegliere la stessa direzione.
Scopri la storia completa dal link nel profilo. Disponibile in cartaceo e Kindle.
🌐 https://diaridipelle.it/notti-fugaci.html
📕 Cartaceo: https://www.amazon.it/dp/B0GRWP3X7C
📱 Kindle: https://www.amazon.it/dp/B0GRWP6PMK
#DiariDiPelle #NottiFugaci #Loida #Relazioni #NarrativaContemporanea</x:v>
      </x:c>
      <x:c r="Q71" s="81" t="str">
        <x:f>'TESTI'!J11</x:f>
        <x:v>https://diaridipelle.it/notti-fugaci.html</x:v>
      </x:c>
      <x:c r="R71" s="81" t="str">
        <x:v>Meta Business Suite</x:v>
      </x:c>
      <x:c r="S71" s="117" t="str">
        <x:v>Programmabile</x:v>
      </x:c>
      <x:c r="T71" s="117" t="str">
        <x:v>Da fare</x:v>
      </x:c>
      <x:c r="U71" s="81" t="str">
        <x:v>Controlla ordine delle immagini e collegamenti nella caption.</x:v>
      </x:c>
      <x:c r="V71" s="81" t="str">
        <x:f>IF(AND(E71&lt;TODAY(),T71&lt;&gt;"Pubblicato"),"SÌ","")</x:f>
      </x:c>
    </x:row>
    <x:row r="72" ht="78" customHeight="1">
      <x:c r="A72" s="117" t="str">
        <x:v>T071</x:v>
      </x:c>
      <x:c r="B72" s="117" t="n">
        <x:v>6</x:v>
      </x:c>
      <x:c r="C72" s="118" t="n">
        <x:f>'CAMPAGNE'!F12</x:f>
        <x:v>46264</x:v>
      </x:c>
      <x:c r="D72" s="119" t="n">
        <x:v>0.75</x:v>
      </x:c>
      <x:c r="E72" s="120" t="n">
        <x:f>'CAMPAGNE'!H12</x:f>
        <x:v>46273</x:v>
      </x:c>
      <x:c r="F72" s="117" t="str">
        <x:f>CHOOSE(WEEKDAY(E72,2),"Lunedì","Martedì","Mercoledì","Giovedì","Venerdì","Sabato","Domenica")</x:f>
        <x:v>Martedì</x:v>
      </x:c>
      <x:c r="G72" s="119" t="n">
        <x:v>0.8333333333333334</x:v>
      </x:c>
      <x:c r="H72" s="117" t="str">
        <x:v>Instagram</x:v>
      </x:c>
      <x:c r="I72" s="117" t="str">
        <x:v>Reel</x:v>
      </x:c>
      <x:c r="J72" s="81" t="str">
        <x:v>Notti Fugaci</x:v>
      </x:c>
      <x:c r="K72" s="117" t="str">
        <x:v>CH10</x:v>
      </x:c>
      <x:c r="L72" s="81" t="str">
        <x:v>Florencia</x:v>
      </x:c>
      <x:c r="M72" s="81" t="str">
        <x:v>Carica il video, imposta la copertina, incolla la caption e programma.</x:v>
      </x:c>
      <x:c r="N72" s="81" t="str">
        <x:v>Notti_Fugaci_Social_Pack/01_REELS/CH10_reel.mp4</x:v>
      </x:c>
      <x:c r="O72" s="81" t="str">
        <x:v>Notti_Fugaci_Social_Pack/02_REEL_COVERS/CH10_cover.jpg</x:v>
      </x:c>
      <x:c r="P72" s="81" t="str">
        <x:f>'TESTI'!E12</x:f>
        <x:v>Florencia non è soltanto l'ultima notte. È il momento in cui il viaggio smette di essere una fuga e diventa memoria.
Non possediamo le persone, le città o il tempo. Possiamo soltanto attraversarli e accettare ciò che lasciano sulla pelle.
Il decimo capitolo chiude Notti Fugaci, ma apre il mondo di Diari di Pelle: altri legami, altri errori, altre verità che non possono più essere rimandate.
Inizia la collana dal link nel profilo.
#DiariDiPelle #NottiFugaci #Florencia #LibriDaLeggere #NarrativaItaliana</x:v>
      </x:c>
      <x:c r="Q72" s="81" t="str">
        <x:f>'TESTI'!J12</x:f>
        <x:v>https://diaridipelle.it/notti-fugaci.html</x:v>
      </x:c>
      <x:c r="R72" s="81" t="str">
        <x:v>App Instagram</x:v>
      </x:c>
      <x:c r="S72" s="117" t="str">
        <x:v>Programmabile</x:v>
      </x:c>
      <x:c r="T72" s="117" t="str">
        <x:v>Da fare</x:v>
      </x:c>
      <x:c r="U72" s="81" t="str">
        <x:v>Controlla audio, ritaglio 9:16 e anteprima copertina. Il link è nel profilo.</x:v>
      </x:c>
      <x:c r="V72" s="81" t="str">
        <x:f>IF(AND(E72&lt;TODAY(),T72&lt;&gt;"Pubblicato"),"SÌ","")</x:f>
      </x:c>
    </x:row>
    <x:row r="73" ht="78" customHeight="1">
      <x:c r="A73" s="117" t="str">
        <x:v>T072</x:v>
      </x:c>
      <x:c r="B73" s="117" t="n">
        <x:v>6</x:v>
      </x:c>
      <x:c r="C73" s="118" t="n">
        <x:f>'CAMPAGNE'!F12</x:f>
        <x:v>46264</x:v>
      </x:c>
      <x:c r="D73" s="119" t="n">
        <x:v>0.75</x:v>
      </x:c>
      <x:c r="E73" s="120" t="n">
        <x:f>'CAMPAGNE'!H12</x:f>
        <x:v>46273</x:v>
      </x:c>
      <x:c r="F73" s="117" t="str">
        <x:f>CHOOSE(WEEKDAY(E73,2),"Lunedì","Martedì","Mercoledì","Giovedì","Venerdì","Sabato","Domenica")</x:f>
        <x:v>Martedì</x:v>
      </x:c>
      <x:c r="G73" s="119" t="n">
        <x:v>0.8333333333333334</x:v>
      </x:c>
      <x:c r="H73" s="117" t="str">
        <x:v>Facebook</x:v>
      </x:c>
      <x:c r="I73" s="117" t="str">
        <x:v>Reel</x:v>
      </x:c>
      <x:c r="J73" s="81" t="str">
        <x:v>Notti Fugaci</x:v>
      </x:c>
      <x:c r="K73" s="117" t="str">
        <x:v>CH10</x:v>
      </x:c>
      <x:c r="L73" s="81" t="str">
        <x:v>Florencia</x:v>
      </x:c>
      <x:c r="M73" s="81" t="str">
        <x:v>Crea un Reel nella Pagina, carica video e copertina, incolla la caption e programma.</x:v>
      </x:c>
      <x:c r="N73" s="81" t="str">
        <x:v>Notti_Fugaci_Social_Pack/01_REELS/CH10_reel.mp4</x:v>
      </x:c>
      <x:c r="O73" s="81" t="str">
        <x:v>Notti_Fugaci_Social_Pack/02_REEL_COVERS/CH10_cover.jpg</x:v>
      </x:c>
      <x:c r="P73" s="81" t="str">
        <x:f>'TESTI'!F12</x:f>
        <x:v>Florencia non è soltanto l'ultima notte. È il momento in cui il viaggio smette di essere una fuga e diventa memoria.
Non possediamo le persone, le città o il tempo. Possiamo soltanto attraversarli e accettare ciò che lasciano sulla pelle.
Il decimo capitolo chiude Notti Fugaci, ma apre il mondo di Diari di Pelle: altri legami, altri errori, altre verità che non possono più essere rimandate.
Inizia la collana dal link nel profilo.
🌐 https://diaridipelle.it/notti-fugaci.html
📕 Cartaceo: https://www.amazon.it/dp/B0GRWP3X7C
📱 Kindle: https://www.amazon.it/dp/B0GRWP6PMK
#DiariDiPelle #NottiFugaci #Florencia #LibriDaLeggere #NarrativaItaliana</x:v>
      </x:c>
      <x:c r="Q73" s="81" t="str">
        <x:f>'TESTI'!J12</x:f>
        <x:v>https://diaridipelle.it/notti-fugaci.html</x:v>
      </x:c>
      <x:c r="R73" s="81" t="str">
        <x:v>Meta Business Suite</x:v>
      </x:c>
      <x:c r="S73" s="117" t="str">
        <x:v>Programmabile</x:v>
      </x:c>
      <x:c r="T73" s="117" t="str">
        <x:v>Da fare</x:v>
      </x:c>
      <x:c r="U73" s="81" t="str">
        <x:v>Pubblica sulla Pagina Facebook. I collegamenti nella caption sono cliccabili.</x:v>
      </x:c>
      <x:c r="V73" s="81" t="str">
        <x:f>IF(AND(E73&lt;TODAY(),T73&lt;&gt;"Pubblicato"),"SÌ","")</x:f>
      </x:c>
    </x:row>
    <x:row r="74" ht="78" customHeight="1">
      <x:c r="A74" s="117" t="str">
        <x:v>T073</x:v>
      </x:c>
      <x:c r="B74" s="117" t="n">
        <x:v>6</x:v>
      </x:c>
      <x:c r="C74" s="118" t="n">
        <x:f>'CAMPAGNE'!G12</x:f>
        <x:v>46271</x:v>
      </x:c>
      <x:c r="D74" s="119" t="n">
        <x:v>0.75</x:v>
      </x:c>
      <x:c r="E74" s="120" t="n">
        <x:f>'CAMPAGNE'!H12</x:f>
        <x:v>46273</x:v>
      </x:c>
      <x:c r="F74" s="117" t="str">
        <x:f>CHOOSE(WEEKDAY(E74,2),"Lunedì","Martedì","Mercoledì","Giovedì","Venerdì","Sabato","Domenica")</x:f>
        <x:v>Martedì</x:v>
      </x:c>
      <x:c r="G74" s="119" t="n">
        <x:v>0.8333333333333334</x:v>
      </x:c>
      <x:c r="H74" s="117" t="str">
        <x:v>TikTok</x:v>
      </x:c>
      <x:c r="I74" s="117" t="str">
        <x:v>Video</x:v>
      </x:c>
      <x:c r="J74" s="81" t="str">
        <x:v>Notti Fugaci</x:v>
      </x:c>
      <x:c r="K74" s="117" t="str">
        <x:v>CH10</x:v>
      </x:c>
      <x:c r="L74" s="81" t="str">
        <x:v>Florencia</x:v>
      </x:c>
      <x:c r="M74" s="81" t="str">
        <x:v>Carica il video in TikTok Studio, scegli la copertina, incolla la caption breve e programma.</x:v>
      </x:c>
      <x:c r="N74" s="81" t="str">
        <x:v>Notti_Fugaci_Social_Pack/01_REELS/CH10_reel.mp4</x:v>
      </x:c>
      <x:c r="O74" s="81" t="str">
        <x:v>Notti_Fugaci_Social_Pack/02_REEL_COVERS/CH10_cover.jpg</x:v>
      </x:c>
      <x:c r="P74" s="81" t="str">
        <x:f>'TESTI'!G12</x:f>
        <x:v>Florencia non è soltanto l'ultima notte. È il momento in cui il viaggio smette di essere una fuga e diventa memoria.
«Florencia» da Notti Fugaci.
Scopri il libro dal link in bio.
#DiariDiPelle #NottiFugaci #BookTokItalia #LibriTikTok</x:v>
      </x:c>
      <x:c r="Q74" s="81" t="str">
        <x:f>'TESTI'!J12</x:f>
        <x:v>https://diaridipelle.it/notti-fugaci.html</x:v>
      </x:c>
      <x:c r="R74" s="81" t="str">
        <x:v>TikTok Studio</x:v>
      </x:c>
      <x:c r="S74" s="117" t="str">
        <x:v>Programmabile entro 10 giorni</x:v>
      </x:c>
      <x:c r="T74" s="117" t="str">
        <x:v>Da fare</x:v>
      </x:c>
      <x:c r="U74" s="81" t="str">
        <x:v>Non aggiungere watermark. Controlla anteprima verticale e audio.</x:v>
      </x:c>
      <x:c r="V74" s="81" t="str">
        <x:f>IF(AND(E74&lt;TODAY(),T74&lt;&gt;"Pubblicato"),"SÌ","")</x:f>
      </x:c>
    </x:row>
    <x:row r="75" ht="78" customHeight="1">
      <x:c r="A75" s="117" t="str">
        <x:v>T074</x:v>
      </x:c>
      <x:c r="B75" s="117" t="n">
        <x:v>6</x:v>
      </x:c>
      <x:c r="C75" s="118" t="n">
        <x:f>'CAMPAGNE'!I12</x:f>
        <x:v>46274</x:v>
      </x:c>
      <x:c r="D75" s="119" t="n">
        <x:v>0.4965277777777778</x:v>
      </x:c>
      <x:c r="E75" s="120" t="n">
        <x:f>'CAMPAGNE'!I12</x:f>
        <x:v>46274</x:v>
      </x:c>
      <x:c r="F75" s="117" t="str">
        <x:f>CHOOSE(WEEKDAY(E75,2),"Lunedì","Martedì","Mercoledì","Giovedì","Venerdì","Sabato","Domenica")</x:f>
        <x:v>Mercoledì</x:v>
      </x:c>
      <x:c r="G75" s="119" t="n">
        <x:v>0.5</x:v>
      </x:c>
      <x:c r="H75" s="117" t="str">
        <x:v>Instagram</x:v>
      </x:c>
      <x:c r="I75" s="117" t="str">
        <x:v>Storia</x:v>
      </x:c>
      <x:c r="J75" s="81" t="str">
        <x:v>Notti Fugaci</x:v>
      </x:c>
      <x:c r="K75" s="117" t="str">
        <x:v>CH10</x:v>
      </x:c>
      <x:c r="L75" s="81" t="str">
        <x:v>Florencia</x:v>
      </x:c>
      <x:c r="M75" s="81" t="str">
        <x:v>Carica l'immagine, aggiungi l'adesivo Link e pubblica.</x:v>
      </x:c>
      <x:c r="N75" s="81" t="str">
        <x:v>Notti_Fugaci_Social_Pack/04_STORIES/CH10_story.jpg</x:v>
      </x:c>
      <x:c r="O75" s="81" t="str">
        <x:v>Notti_Fugaci_Social_Pack/05_CAPTIONS/CH10_story_link.txt</x:v>
      </x:c>
      <x:c r="P75" s="81" t="str">
        <x:f>'TESTI'!N12</x:f>
        <x:v>Tocca SCOPRI IL LIBRO e scegli cartaceo o Kindle.</x:v>
      </x:c>
      <x:c r="Q75" s="81" t="str">
        <x:f>'TESTI'!H12</x:f>
        <x:v>https://diaridipelle.it/notti-fugaci.html?utm_source=instagram&amp;utm_medium=story&amp;utm_campaign=notti_fugaci&amp;utm_content=ch10</x:v>
      </x:c>
      <x:c r="R75" s="81" t="str">
        <x:v>App Instagram</x:v>
      </x:c>
      <x:c r="S75" s="117" t="str">
        <x:v>Manuale</x:v>
      </x:c>
      <x:c r="T75" s="117" t="str">
        <x:v>Da fare</x:v>
      </x:c>
      <x:c r="U75" s="81" t="str">
        <x:v>La data lavoro è lo stesso giorno, 5 minuti prima. Testo adesivo: SCOPRI IL LIBRO.</x:v>
      </x:c>
      <x:c r="V75" s="81" t="str">
        <x:f>IF(AND(E75&lt;TODAY(),T75&lt;&gt;"Pubblicato"),"SÌ","")</x:f>
      </x:c>
    </x:row>
    <x:row r="76" ht="78" customHeight="1">
      <x:c r="A76" s="117" t="str">
        <x:v>T075</x:v>
      </x:c>
      <x:c r="B76" s="117" t="n">
        <x:v>6</x:v>
      </x:c>
      <x:c r="C76" s="118" t="n">
        <x:f>'CAMPAGNE'!F12</x:f>
        <x:v>46264</x:v>
      </x:c>
      <x:c r="D76" s="119" t="n">
        <x:v>0.75</x:v>
      </x:c>
      <x:c r="E76" s="120" t="n">
        <x:f>'CAMPAGNE'!I12</x:f>
        <x:v>46274</x:v>
      </x:c>
      <x:c r="F76" s="117" t="str">
        <x:f>CHOOSE(WEEKDAY(E76,2),"Lunedì","Martedì","Mercoledì","Giovedì","Venerdì","Sabato","Domenica")</x:f>
        <x:v>Mercoledì</x:v>
      </x:c>
      <x:c r="G76" s="119" t="n">
        <x:v>0.5</x:v>
      </x:c>
      <x:c r="H76" s="117" t="str">
        <x:v>Facebook</x:v>
      </x:c>
      <x:c r="I76" s="117" t="str">
        <x:v>Storia</x:v>
      </x:c>
      <x:c r="J76" s="81" t="str">
        <x:v>Notti Fugaci</x:v>
      </x:c>
      <x:c r="K76" s="117" t="str">
        <x:v>CH10</x:v>
      </x:c>
      <x:c r="L76" s="81" t="str">
        <x:v>Florencia</x:v>
      </x:c>
      <x:c r="M76" s="81" t="str">
        <x:v>Crea una Storia della Pagina, carica l'immagine, aggiungi il link e programma.</x:v>
      </x:c>
      <x:c r="N76" s="81" t="str">
        <x:v>Notti_Fugaci_Social_Pack/04_STORIES/CH10_story.jpg</x:v>
      </x:c>
      <x:c r="O76" s="81" t="str">
        <x:v>Notti_Fugaci_Social_Pack/05_CAPTIONS/CH10_story_link.txt</x:v>
      </x:c>
      <x:c r="P76" s="81" t="str">
        <x:f>'TESTI'!N12</x:f>
        <x:v>Tocca SCOPRI IL LIBRO e scegli cartaceo o Kindle.</x:v>
      </x:c>
      <x:c r="Q76" s="81" t="str">
        <x:f>'TESTI'!I12</x:f>
        <x:v>https://diaridipelle.it/notti-fugaci.html?utm_source=facebook&amp;utm_medium=story&amp;utm_campaign=notti_fugaci&amp;utm_content=ch10</x:v>
      </x:c>
      <x:c r="R76" s="81" t="str">
        <x:v>Meta Business Suite</x:v>
      </x:c>
      <x:c r="S76" s="117" t="str">
        <x:v>Programmabile</x:v>
      </x:c>
      <x:c r="T76" s="117" t="str">
        <x:v>Da fare</x:v>
      </x:c>
      <x:c r="U76" s="81" t="str">
        <x:v>Controlla che la destinazione sia la Pagina Facebook.</x:v>
      </x:c>
      <x:c r="V76" s="81" t="str">
        <x:f>IF(AND(E76&lt;TODAY(),T76&lt;&gt;"Pubblicato"),"SÌ","")</x:f>
      </x:c>
    </x:row>
    <x:row r="77" ht="78" customHeight="1">
      <x:c r="A77" s="117" t="str">
        <x:v>T076</x:v>
      </x:c>
      <x:c r="B77" s="117" t="n">
        <x:v>6</x:v>
      </x:c>
      <x:c r="C77" s="118" t="n">
        <x:f>'CAMPAGNE'!F12</x:f>
        <x:v>46264</x:v>
      </x:c>
      <x:c r="D77" s="119" t="n">
        <x:v>0.75</x:v>
      </x:c>
      <x:c r="E77" s="120" t="n">
        <x:f>'CAMPAGNE'!J12</x:f>
        <x:v>46275</x:v>
      </x:c>
      <x:c r="F77" s="117" t="str">
        <x:f>CHOOSE(WEEKDAY(E77,2),"Lunedì","Martedì","Mercoledì","Giovedì","Venerdì","Sabato","Domenica")</x:f>
        <x:v>Giovedì</x:v>
      </x:c>
      <x:c r="G77" s="119" t="n">
        <x:v>0.8333333333333334</x:v>
      </x:c>
      <x:c r="H77" s="117" t="str">
        <x:v>Instagram</x:v>
      </x:c>
      <x:c r="I77" s="117" t="str">
        <x:v>Carosello</x:v>
      </x:c>
      <x:c r="J77" s="81" t="str">
        <x:v>Notti Fugaci</x:v>
      </x:c>
      <x:c r="K77" s="117" t="str">
        <x:v>CH10</x:v>
      </x:c>
      <x:c r="L77" s="81" t="str">
        <x:v>Florencia</x:v>
      </x:c>
      <x:c r="M77" s="81" t="str">
        <x:v>Carica le tre immagini nell'ordine 01, 02, 03; incolla la caption e programma.</x:v>
      </x:c>
      <x:c r="N77" s="81" t="str">
        <x:v>Notti_Fugaci_Social_Pack/03_CAROUSELS/CH10/CH10_01.jpg
Notti_Fugaci_Social_Pack/03_CAROUSELS/CH10/CH10_02.jpg
Notti_Fugaci_Social_Pack/03_CAROUSELS/CH10/CH10_03.jpg</x:v>
      </x:c>
      <x:c r="O77" s="81" t="str">
        <x:v>Ordine obbligatorio: 01 → 02 → 03</x:v>
      </x:c>
      <x:c r="P77" s="81" t="str">
        <x:f>'TESTI'!E12</x:f>
        <x:v>Florencia non è soltanto l'ultima notte. È il momento in cui il viaggio smette di essere una fuga e diventa memoria.
Non possediamo le persone, le città o il tempo. Possiamo soltanto attraversarli e accettare ciò che lasciano sulla pelle.
Il decimo capitolo chiude Notti Fugaci, ma apre il mondo di Diari di Pelle: altri legami, altri errori, altre verità che non possono più essere rimandate.
Inizia la collana dal link nel profilo.
#DiariDiPelle #NottiFugaci #Florencia #LibriDaLeggere #NarrativaItaliana</x:v>
      </x:c>
      <x:c r="Q77" s="81" t="str">
        <x:f>'TESTI'!J12</x:f>
        <x:v>https://diaridipelle.it/notti-fugaci.html</x:v>
      </x:c>
      <x:c r="R77" s="81" t="str">
        <x:v>App Instagram</x:v>
      </x:c>
      <x:c r="S77" s="117" t="str">
        <x:v>Programmabile</x:v>
      </x:c>
      <x:c r="T77" s="117" t="str">
        <x:v>Da fare</x:v>
      </x:c>
      <x:c r="U77" s="81" t="str">
        <x:v>Verifica che nessuna slide sia tagliata. Il link è nel profilo.</x:v>
      </x:c>
      <x:c r="V77" s="81" t="str">
        <x:f>IF(AND(E77&lt;TODAY(),T77&lt;&gt;"Pubblicato"),"SÌ","")</x:f>
      </x:c>
    </x:row>
    <x:row r="78" ht="78" customHeight="1">
      <x:c r="A78" s="117" t="str">
        <x:v>T077</x:v>
      </x:c>
      <x:c r="B78" s="117" t="n">
        <x:v>6</x:v>
      </x:c>
      <x:c r="C78" s="118" t="n">
        <x:f>'CAMPAGNE'!F12</x:f>
        <x:v>46264</x:v>
      </x:c>
      <x:c r="D78" s="119" t="n">
        <x:v>0.75</x:v>
      </x:c>
      <x:c r="E78" s="120" t="n">
        <x:f>'CAMPAGNE'!J12</x:f>
        <x:v>46275</x:v>
      </x:c>
      <x:c r="F78" s="117" t="str">
        <x:f>CHOOSE(WEEKDAY(E78,2),"Lunedì","Martedì","Mercoledì","Giovedì","Venerdì","Sabato","Domenica")</x:f>
        <x:v>Giovedì</x:v>
      </x:c>
      <x:c r="G78" s="119" t="n">
        <x:v>0.8333333333333334</x:v>
      </x:c>
      <x:c r="H78" s="117" t="str">
        <x:v>Facebook</x:v>
      </x:c>
      <x:c r="I78" s="117" t="str">
        <x:v>Carosello</x:v>
      </x:c>
      <x:c r="J78" s="81" t="str">
        <x:v>Notti Fugaci</x:v>
      </x:c>
      <x:c r="K78" s="117" t="str">
        <x:v>CH10</x:v>
      </x:c>
      <x:c r="L78" s="81" t="str">
        <x:v>Florencia</x:v>
      </x:c>
      <x:c r="M78" s="81" t="str">
        <x:v>Carica le tre immagini nell'ordine 01, 02, 03; incolla la caption e programma.</x:v>
      </x:c>
      <x:c r="N78" s="81" t="str">
        <x:v>Notti_Fugaci_Social_Pack/03_CAROUSELS/CH10/CH10_01.jpg
Notti_Fugaci_Social_Pack/03_CAROUSELS/CH10/CH10_02.jpg
Notti_Fugaci_Social_Pack/03_CAROUSELS/CH10/CH10_03.jpg</x:v>
      </x:c>
      <x:c r="O78" s="81" t="str">
        <x:v>Ordine obbligatorio: 01 → 02 → 03</x:v>
      </x:c>
      <x:c r="P78" s="81" t="str">
        <x:f>'TESTI'!F12</x:f>
        <x:v>Florencia non è soltanto l'ultima notte. È il momento in cui il viaggio smette di essere una fuga e diventa memoria.
Non possediamo le persone, le città o il tempo. Possiamo soltanto attraversarli e accettare ciò che lasciano sulla pelle.
Il decimo capitolo chiude Notti Fugaci, ma apre il mondo di Diari di Pelle: altri legami, altri errori, altre verità che non possono più essere rimandate.
Inizia la collana dal link nel profilo.
🌐 https://diaridipelle.it/notti-fugaci.html
📕 Cartaceo: https://www.amazon.it/dp/B0GRWP3X7C
📱 Kindle: https://www.amazon.it/dp/B0GRWP6PMK
#DiariDiPelle #NottiFugaci #Florencia #LibriDaLeggere #NarrativaItaliana</x:v>
      </x:c>
      <x:c r="Q78" s="81" t="str">
        <x:f>'TESTI'!J12</x:f>
        <x:v>https://diaridipelle.it/notti-fugaci.html</x:v>
      </x:c>
      <x:c r="R78" s="81" t="str">
        <x:v>Meta Business Suite</x:v>
      </x:c>
      <x:c r="S78" s="117" t="str">
        <x:v>Programmabile</x:v>
      </x:c>
      <x:c r="T78" s="117" t="str">
        <x:v>Da fare</x:v>
      </x:c>
      <x:c r="U78" s="81" t="str">
        <x:v>Controlla ordine delle immagini e collegamenti nella caption.</x:v>
      </x:c>
      <x:c r="V78" s="81" t="str">
        <x:f>IF(AND(E78&lt;TODAY(),T78&lt;&gt;"Pubblicato"),"SÌ","")</x:f>
      </x:c>
    </x:row>
    <x:row r="79" ht="78" customHeight="1">
      <x:c r="A79" s="117" t="str">
        <x:v>T078</x:v>
      </x:c>
      <x:c r="B79" s="117" t="n">
        <x:v>6</x:v>
      </x:c>
      <x:c r="C79" s="118" t="n">
        <x:f>'CAMPAGNE'!F13</x:f>
        <x:v>46264</x:v>
      </x:c>
      <x:c r="D79" s="119" t="n">
        <x:v>0.75</x:v>
      </x:c>
      <x:c r="E79" s="120" t="n">
        <x:f>'CAMPAGNE'!H13</x:f>
        <x:v>46276</x:v>
      </x:c>
      <x:c r="F79" s="117" t="str">
        <x:f>CHOOSE(WEEKDAY(E79,2),"Lunedì","Martedì","Mercoledì","Giovedì","Venerdì","Sabato","Domenica")</x:f>
        <x:v>Venerdì</x:v>
      </x:c>
      <x:c r="G79" s="119" t="n">
        <x:v>0.8333333333333334</x:v>
      </x:c>
      <x:c r="H79" s="117" t="str">
        <x:v>Instagram</x:v>
      </x:c>
      <x:c r="I79" s="117" t="str">
        <x:v>Reel</x:v>
      </x:c>
      <x:c r="J79" s="81" t="str">
        <x:v>Intrecci Sbagliati</x:v>
      </x:c>
      <x:c r="K79" s="117" t="str">
        <x:v>TRAILER</x:v>
      </x:c>
      <x:c r="L79" s="81" t="str">
        <x:v>Intrecci Sbagliati</x:v>
      </x:c>
      <x:c r="M79" s="81" t="str">
        <x:v>Carica il video, imposta la copertina, incolla la caption e programma.</x:v>
      </x:c>
      <x:c r="N79" s="81" t="str">
        <x:v>Intrecci_Sbagliati_Social_Pack/01_REELS/TRAILER_reel.mp4</x:v>
      </x:c>
      <x:c r="O79" s="81" t="str">
        <x:v>Intrecci_Sbagliati_Social_Pack/02_REEL_COVERS/TRAILER_cover.jpg</x:v>
      </x:c>
      <x:c r="P79" s="81" t="str">
        <x:f>'TESTI'!E13</x:f>
        <x:v>Una notte non basta più. Ne vuoi un'altra, e un'altra ancora, finché ogni incontro comincia a produrre conseguenze.
Intrecci Sbagliati è il secondo volume di Diari di Pelle: dieci storie di desiderio, memoria, dipendenza e legami che continuano a parlare anche quando sembrano finiti.
Disponibile in versione cartacea e Kindle. Scoprilo dal link nel profilo.
#DiariDiPelle #IntrecciSbagliati #NarrativaItaliana #NarrativaPsicologica #LibriDaLeggere</x:v>
      </x:c>
      <x:c r="Q79" s="81" t="str">
        <x:f>'TESTI'!J13</x:f>
        <x:v>https://diaridipelle.it/intrecci-sbagliati.html</x:v>
      </x:c>
      <x:c r="R79" s="81" t="str">
        <x:v>App Instagram</x:v>
      </x:c>
      <x:c r="S79" s="117" t="str">
        <x:v>Programmabile</x:v>
      </x:c>
      <x:c r="T79" s="117" t="str">
        <x:v>Da fare</x:v>
      </x:c>
      <x:c r="U79" s="81" t="str">
        <x:v>Controlla audio, ritaglio 9:16 e anteprima copertina. Il link è nel profilo.</x:v>
      </x:c>
      <x:c r="V79" s="81" t="str">
        <x:f>IF(AND(E79&lt;TODAY(),T79&lt;&gt;"Pubblicato"),"SÌ","")</x:f>
      </x:c>
    </x:row>
    <x:row r="80" ht="78" customHeight="1">
      <x:c r="A80" s="117" t="str">
        <x:v>T079</x:v>
      </x:c>
      <x:c r="B80" s="117" t="n">
        <x:v>6</x:v>
      </x:c>
      <x:c r="C80" s="118" t="n">
        <x:f>'CAMPAGNE'!F13</x:f>
        <x:v>46264</x:v>
      </x:c>
      <x:c r="D80" s="119" t="n">
        <x:v>0.75</x:v>
      </x:c>
      <x:c r="E80" s="120" t="n">
        <x:f>'CAMPAGNE'!H13</x:f>
        <x:v>46276</x:v>
      </x:c>
      <x:c r="F80" s="117" t="str">
        <x:f>CHOOSE(WEEKDAY(E80,2),"Lunedì","Martedì","Mercoledì","Giovedì","Venerdì","Sabato","Domenica")</x:f>
        <x:v>Venerdì</x:v>
      </x:c>
      <x:c r="G80" s="119" t="n">
        <x:v>0.8333333333333334</x:v>
      </x:c>
      <x:c r="H80" s="117" t="str">
        <x:v>Facebook</x:v>
      </x:c>
      <x:c r="I80" s="117" t="str">
        <x:v>Reel</x:v>
      </x:c>
      <x:c r="J80" s="81" t="str">
        <x:v>Intrecci Sbagliati</x:v>
      </x:c>
      <x:c r="K80" s="117" t="str">
        <x:v>TRAILER</x:v>
      </x:c>
      <x:c r="L80" s="81" t="str">
        <x:v>Intrecci Sbagliati</x:v>
      </x:c>
      <x:c r="M80" s="81" t="str">
        <x:v>Crea un Reel nella Pagina, carica video e copertina, incolla la caption e programma.</x:v>
      </x:c>
      <x:c r="N80" s="81" t="str">
        <x:v>Intrecci_Sbagliati_Social_Pack/01_REELS/TRAILER_reel.mp4</x:v>
      </x:c>
      <x:c r="O80" s="81" t="str">
        <x:v>Intrecci_Sbagliati_Social_Pack/02_REEL_COVERS/TRAILER_cover.jpg</x:v>
      </x:c>
      <x:c r="P80" s="81" t="str">
        <x:f>'TESTI'!F13</x:f>
        <x:v>Una notte non basta più. Ne vuoi un'altra, e un'altra ancora, finché ogni incontro comincia a produrre conseguenze.
Intrecci Sbagliati è il secondo volume di Diari di Pelle: dieci storie di desiderio, memoria, dipendenza e legami che continuano a parlare anche quando sembrano finiti.
Disponibile in versione cartacea e Kindle. Scoprilo dal link nel profilo.
🌐 https://diaridipelle.it/intrecci-sbagliati.html
📕 Cartaceo: https://www.amazon.it/dp/B0GX27ZJ1L
📱 Kindle: https://www.amazon.it/dp/B0GX2JR3F6
#DiariDiPelle #IntrecciSbagliati #NarrativaItaliana #NarrativaPsicologica #LibriDaLeggere</x:v>
      </x:c>
      <x:c r="Q80" s="81" t="str">
        <x:f>'TESTI'!J13</x:f>
        <x:v>https://diaridipelle.it/intrecci-sbagliati.html</x:v>
      </x:c>
      <x:c r="R80" s="81" t="str">
        <x:v>Meta Business Suite</x:v>
      </x:c>
      <x:c r="S80" s="117" t="str">
        <x:v>Programmabile</x:v>
      </x:c>
      <x:c r="T80" s="117" t="str">
        <x:v>Da fare</x:v>
      </x:c>
      <x:c r="U80" s="81" t="str">
        <x:v>Pubblica sulla Pagina Facebook. I collegamenti nella caption sono cliccabili.</x:v>
      </x:c>
      <x:c r="V80" s="81" t="str">
        <x:f>IF(AND(E80&lt;TODAY(),T80&lt;&gt;"Pubblicato"),"SÌ","")</x:f>
      </x:c>
    </x:row>
    <x:row r="81" ht="78" customHeight="1">
      <x:c r="A81" s="117" t="str">
        <x:v>T080</x:v>
      </x:c>
      <x:c r="B81" s="117" t="n">
        <x:v>6</x:v>
      </x:c>
      <x:c r="C81" s="118" t="n">
        <x:f>'CAMPAGNE'!G13</x:f>
        <x:v>46271</x:v>
      </x:c>
      <x:c r="D81" s="119" t="n">
        <x:v>0.75</x:v>
      </x:c>
      <x:c r="E81" s="120" t="n">
        <x:f>'CAMPAGNE'!H13</x:f>
        <x:v>46276</x:v>
      </x:c>
      <x:c r="F81" s="117" t="str">
        <x:f>CHOOSE(WEEKDAY(E81,2),"Lunedì","Martedì","Mercoledì","Giovedì","Venerdì","Sabato","Domenica")</x:f>
        <x:v>Venerdì</x:v>
      </x:c>
      <x:c r="G81" s="119" t="n">
        <x:v>0.8333333333333334</x:v>
      </x:c>
      <x:c r="H81" s="117" t="str">
        <x:v>TikTok</x:v>
      </x:c>
      <x:c r="I81" s="117" t="str">
        <x:v>Video</x:v>
      </x:c>
      <x:c r="J81" s="81" t="str">
        <x:v>Intrecci Sbagliati</x:v>
      </x:c>
      <x:c r="K81" s="117" t="str">
        <x:v>TRAILER</x:v>
      </x:c>
      <x:c r="L81" s="81" t="str">
        <x:v>Intrecci Sbagliati</x:v>
      </x:c>
      <x:c r="M81" s="81" t="str">
        <x:v>Carica il video in TikTok Studio, scegli la copertina, incolla la caption breve e programma.</x:v>
      </x:c>
      <x:c r="N81" s="81" t="str">
        <x:v>Intrecci_Sbagliati_Social_Pack/01_REELS/TRAILER_reel.mp4</x:v>
      </x:c>
      <x:c r="O81" s="81" t="str">
        <x:v>Intrecci_Sbagliati_Social_Pack/02_REEL_COVERS/TRAILER_cover.jpg</x:v>
      </x:c>
      <x:c r="P81" s="81" t="str">
        <x:f>'TESTI'!G13</x:f>
        <x:v>Una notte non basta più. Ne vuoi un'altra, e un'altra ancora, finché ogni incontro comincia a produrre conseguenze.
«Intrecci Sbagliati» da Intrecci Sbagliati.
Scopri il libro dal link in bio.
#DiariDiPelle #IntrecciSbagliati #BookTokItalia #LibriTikTok</x:v>
      </x:c>
      <x:c r="Q81" s="81" t="str">
        <x:f>'TESTI'!J13</x:f>
        <x:v>https://diaridipelle.it/intrecci-sbagliati.html</x:v>
      </x:c>
      <x:c r="R81" s="81" t="str">
        <x:v>TikTok Studio</x:v>
      </x:c>
      <x:c r="S81" s="117" t="str">
        <x:v>Programmabile entro 10 giorni</x:v>
      </x:c>
      <x:c r="T81" s="117" t="str">
        <x:v>Da fare</x:v>
      </x:c>
      <x:c r="U81" s="81" t="str">
        <x:v>Non aggiungere watermark. Controlla anteprima verticale e audio.</x:v>
      </x:c>
      <x:c r="V81" s="81" t="str">
        <x:f>IF(AND(E81&lt;TODAY(),T81&lt;&gt;"Pubblicato"),"SÌ","")</x:f>
      </x:c>
    </x:row>
    <x:row r="82" ht="78" customHeight="1">
      <x:c r="A82" s="117" t="str">
        <x:v>T081</x:v>
      </x:c>
      <x:c r="B82" s="117" t="n">
        <x:v>6</x:v>
      </x:c>
      <x:c r="C82" s="118" t="n">
        <x:f>'CAMPAGNE'!I13</x:f>
        <x:v>46277</x:v>
      </x:c>
      <x:c r="D82" s="119" t="n">
        <x:v>0.4965277777777778</x:v>
      </x:c>
      <x:c r="E82" s="120" t="n">
        <x:f>'CAMPAGNE'!I13</x:f>
        <x:v>46277</x:v>
      </x:c>
      <x:c r="F82" s="117" t="str">
        <x:f>CHOOSE(WEEKDAY(E82,2),"Lunedì","Martedì","Mercoledì","Giovedì","Venerdì","Sabato","Domenica")</x:f>
        <x:v>Sabato</x:v>
      </x:c>
      <x:c r="G82" s="119" t="n">
        <x:v>0.5</x:v>
      </x:c>
      <x:c r="H82" s="117" t="str">
        <x:v>Instagram</x:v>
      </x:c>
      <x:c r="I82" s="117" t="str">
        <x:v>Storia</x:v>
      </x:c>
      <x:c r="J82" s="81" t="str">
        <x:v>Intrecci Sbagliati</x:v>
      </x:c>
      <x:c r="K82" s="117" t="str">
        <x:v>TRAILER</x:v>
      </x:c>
      <x:c r="L82" s="81" t="str">
        <x:v>Intrecci Sbagliati</x:v>
      </x:c>
      <x:c r="M82" s="81" t="str">
        <x:v>Carica l'immagine, aggiungi l'adesivo Link e pubblica.</x:v>
      </x:c>
      <x:c r="N82" s="81" t="str">
        <x:v>Intrecci_Sbagliati_Social_Pack/04_STORIES/TRAILER_story.jpg</x:v>
      </x:c>
      <x:c r="O82" s="81" t="str">
        <x:v>Intrecci_Sbagliati_Social_Pack/05_CAPTIONS/TRAILER_story_link.txt</x:v>
      </x:c>
      <x:c r="P82" s="81" t="str">
        <x:f>'TESTI'!N13</x:f>
        <x:v>Tocca SCOPRI IL LIBRO e scegli cartaceo o Kindle.</x:v>
      </x:c>
      <x:c r="Q82" s="81" t="str">
        <x:f>'TESTI'!H13</x:f>
        <x:v>https://diaridipelle.it/intrecci-sbagliati.html?utm_source=instagram&amp;utm_medium=story&amp;utm_campaign=intrecci_sbagliati&amp;utm_content=trailer</x:v>
      </x:c>
      <x:c r="R82" s="81" t="str">
        <x:v>App Instagram</x:v>
      </x:c>
      <x:c r="S82" s="117" t="str">
        <x:v>Manuale</x:v>
      </x:c>
      <x:c r="T82" s="117" t="str">
        <x:v>Da fare</x:v>
      </x:c>
      <x:c r="U82" s="81" t="str">
        <x:v>La data lavoro è lo stesso giorno, 5 minuti prima. Testo adesivo: SCOPRI IL LIBRO.</x:v>
      </x:c>
      <x:c r="V82" s="81" t="str">
        <x:f>IF(AND(E82&lt;TODAY(),T82&lt;&gt;"Pubblicato"),"SÌ","")</x:f>
      </x:c>
    </x:row>
    <x:row r="83" ht="78" customHeight="1">
      <x:c r="A83" s="117" t="str">
        <x:v>T082</x:v>
      </x:c>
      <x:c r="B83" s="117" t="n">
        <x:v>6</x:v>
      </x:c>
      <x:c r="C83" s="118" t="n">
        <x:f>'CAMPAGNE'!F13</x:f>
        <x:v>46264</x:v>
      </x:c>
      <x:c r="D83" s="119" t="n">
        <x:v>0.75</x:v>
      </x:c>
      <x:c r="E83" s="120" t="n">
        <x:f>'CAMPAGNE'!I13</x:f>
        <x:v>46277</x:v>
      </x:c>
      <x:c r="F83" s="117" t="str">
        <x:f>CHOOSE(WEEKDAY(E83,2),"Lunedì","Martedì","Mercoledì","Giovedì","Venerdì","Sabato","Domenica")</x:f>
        <x:v>Sabato</x:v>
      </x:c>
      <x:c r="G83" s="119" t="n">
        <x:v>0.5</x:v>
      </x:c>
      <x:c r="H83" s="117" t="str">
        <x:v>Facebook</x:v>
      </x:c>
      <x:c r="I83" s="117" t="str">
        <x:v>Storia</x:v>
      </x:c>
      <x:c r="J83" s="81" t="str">
        <x:v>Intrecci Sbagliati</x:v>
      </x:c>
      <x:c r="K83" s="117" t="str">
        <x:v>TRAILER</x:v>
      </x:c>
      <x:c r="L83" s="81" t="str">
        <x:v>Intrecci Sbagliati</x:v>
      </x:c>
      <x:c r="M83" s="81" t="str">
        <x:v>Crea una Storia della Pagina, carica l'immagine, aggiungi il link e programma.</x:v>
      </x:c>
      <x:c r="N83" s="81" t="str">
        <x:v>Intrecci_Sbagliati_Social_Pack/04_STORIES/TRAILER_story.jpg</x:v>
      </x:c>
      <x:c r="O83" s="81" t="str">
        <x:v>Intrecci_Sbagliati_Social_Pack/05_CAPTIONS/TRAILER_story_link.txt</x:v>
      </x:c>
      <x:c r="P83" s="81" t="str">
        <x:f>'TESTI'!N13</x:f>
        <x:v>Tocca SCOPRI IL LIBRO e scegli cartaceo o Kindle.</x:v>
      </x:c>
      <x:c r="Q83" s="81" t="str">
        <x:f>'TESTI'!I13</x:f>
        <x:v>https://diaridipelle.it/intrecci-sbagliati.html?utm_source=facebook&amp;utm_medium=story&amp;utm_campaign=intrecci_sbagliati&amp;utm_content=trailer</x:v>
      </x:c>
      <x:c r="R83" s="81" t="str">
        <x:v>Meta Business Suite</x:v>
      </x:c>
      <x:c r="S83" s="117" t="str">
        <x:v>Programmabile</x:v>
      </x:c>
      <x:c r="T83" s="117" t="str">
        <x:v>Da fare</x:v>
      </x:c>
      <x:c r="U83" s="81" t="str">
        <x:v>Controlla che la destinazione sia la Pagina Facebook.</x:v>
      </x:c>
      <x:c r="V83" s="81" t="str">
        <x:f>IF(AND(E83&lt;TODAY(),T83&lt;&gt;"Pubblicato"),"SÌ","")</x:f>
      </x:c>
    </x:row>
    <x:row r="84" ht="78" customHeight="1">
      <x:c r="A84" s="117" t="str">
        <x:v>T083</x:v>
      </x:c>
      <x:c r="B84" s="117" t="n">
        <x:v>6</x:v>
      </x:c>
      <x:c r="C84" s="118" t="n">
        <x:f>'CAMPAGNE'!F13</x:f>
        <x:v>46264</x:v>
      </x:c>
      <x:c r="D84" s="119" t="n">
        <x:v>0.75</x:v>
      </x:c>
      <x:c r="E84" s="120" t="n">
        <x:f>'CAMPAGNE'!J13</x:f>
        <x:v>46278</x:v>
      </x:c>
      <x:c r="F84" s="117" t="str">
        <x:f>CHOOSE(WEEKDAY(E84,2),"Lunedì","Martedì","Mercoledì","Giovedì","Venerdì","Sabato","Domenica")</x:f>
        <x:v>Domenica</x:v>
      </x:c>
      <x:c r="G84" s="119" t="n">
        <x:v>0.4583333333333333</x:v>
      </x:c>
      <x:c r="H84" s="117" t="str">
        <x:v>Instagram</x:v>
      </x:c>
      <x:c r="I84" s="117" t="str">
        <x:v>Carosello</x:v>
      </x:c>
      <x:c r="J84" s="81" t="str">
        <x:v>Intrecci Sbagliati</x:v>
      </x:c>
      <x:c r="K84" s="117" t="str">
        <x:v>TRAILER</x:v>
      </x:c>
      <x:c r="L84" s="81" t="str">
        <x:v>Intrecci Sbagliati</x:v>
      </x:c>
      <x:c r="M84" s="81" t="str">
        <x:v>Carica le tre immagini nell'ordine 01, 02, 03; incolla la caption e programma.</x:v>
      </x:c>
      <x:c r="N84" s="81" t="str">
        <x:v>Intrecci_Sbagliati_Social_Pack/03_CAROUSELS/TRAILER/TRAILER_01.jpg
Intrecci_Sbagliati_Social_Pack/03_CAROUSELS/TRAILER/TRAILER_02.jpg
Intrecci_Sbagliati_Social_Pack/03_CAROUSELS/TRAILER/TRAILER_03.jpg</x:v>
      </x:c>
      <x:c r="O84" s="81" t="str">
        <x:v>Ordine obbligatorio: 01 → 02 → 03</x:v>
      </x:c>
      <x:c r="P84" s="81" t="str">
        <x:f>'TESTI'!E13</x:f>
        <x:v>Una notte non basta più. Ne vuoi un'altra, e un'altra ancora, finché ogni incontro comincia a produrre conseguenze.
Intrecci Sbagliati è il secondo volume di Diari di Pelle: dieci storie di desiderio, memoria, dipendenza e legami che continuano a parlare anche quando sembrano finiti.
Disponibile in versione cartacea e Kindle. Scoprilo dal link nel profilo.
#DiariDiPelle #IntrecciSbagliati #NarrativaItaliana #NarrativaPsicologica #LibriDaLeggere</x:v>
      </x:c>
      <x:c r="Q84" s="81" t="str">
        <x:f>'TESTI'!J13</x:f>
        <x:v>https://diaridipelle.it/intrecci-sbagliati.html</x:v>
      </x:c>
      <x:c r="R84" s="81" t="str">
        <x:v>App Instagram</x:v>
      </x:c>
      <x:c r="S84" s="117" t="str">
        <x:v>Programmabile</x:v>
      </x:c>
      <x:c r="T84" s="117" t="str">
        <x:v>Da fare</x:v>
      </x:c>
      <x:c r="U84" s="81" t="str">
        <x:v>Verifica che nessuna slide sia tagliata. Il link è nel profilo.</x:v>
      </x:c>
      <x:c r="V84" s="81" t="str">
        <x:f>IF(AND(E84&lt;TODAY(),T84&lt;&gt;"Pubblicato"),"SÌ","")</x:f>
      </x:c>
    </x:row>
    <x:row r="85" ht="78" customHeight="1">
      <x:c r="A85" s="117" t="str">
        <x:v>T084</x:v>
      </x:c>
      <x:c r="B85" s="117" t="n">
        <x:v>6</x:v>
      </x:c>
      <x:c r="C85" s="118" t="n">
        <x:f>'CAMPAGNE'!F13</x:f>
        <x:v>46264</x:v>
      </x:c>
      <x:c r="D85" s="119" t="n">
        <x:v>0.75</x:v>
      </x:c>
      <x:c r="E85" s="120" t="n">
        <x:f>'CAMPAGNE'!J13</x:f>
        <x:v>46278</x:v>
      </x:c>
      <x:c r="F85" s="117" t="str">
        <x:f>CHOOSE(WEEKDAY(E85,2),"Lunedì","Martedì","Mercoledì","Giovedì","Venerdì","Sabato","Domenica")</x:f>
        <x:v>Domenica</x:v>
      </x:c>
      <x:c r="G85" s="119" t="n">
        <x:v>0.4583333333333333</x:v>
      </x:c>
      <x:c r="H85" s="117" t="str">
        <x:v>Facebook</x:v>
      </x:c>
      <x:c r="I85" s="117" t="str">
        <x:v>Carosello</x:v>
      </x:c>
      <x:c r="J85" s="81" t="str">
        <x:v>Intrecci Sbagliati</x:v>
      </x:c>
      <x:c r="K85" s="117" t="str">
        <x:v>TRAILER</x:v>
      </x:c>
      <x:c r="L85" s="81" t="str">
        <x:v>Intrecci Sbagliati</x:v>
      </x:c>
      <x:c r="M85" s="81" t="str">
        <x:v>Carica le tre immagini nell'ordine 01, 02, 03; incolla la caption e programma.</x:v>
      </x:c>
      <x:c r="N85" s="81" t="str">
        <x:v>Intrecci_Sbagliati_Social_Pack/03_CAROUSELS/TRAILER/TRAILER_01.jpg
Intrecci_Sbagliati_Social_Pack/03_CAROUSELS/TRAILER/TRAILER_02.jpg
Intrecci_Sbagliati_Social_Pack/03_CAROUSELS/TRAILER/TRAILER_03.jpg</x:v>
      </x:c>
      <x:c r="O85" s="81" t="str">
        <x:v>Ordine obbligatorio: 01 → 02 → 03</x:v>
      </x:c>
      <x:c r="P85" s="81" t="str">
        <x:f>'TESTI'!F13</x:f>
        <x:v>Una notte non basta più. Ne vuoi un'altra, e un'altra ancora, finché ogni incontro comincia a produrre conseguenze.
Intrecci Sbagliati è il secondo volume di Diari di Pelle: dieci storie di desiderio, memoria, dipendenza e legami che continuano a parlare anche quando sembrano finiti.
Disponibile in versione cartacea e Kindle. Scoprilo dal link nel profilo.
🌐 https://diaridipelle.it/intrecci-sbagliati.html
📕 Cartaceo: https://www.amazon.it/dp/B0GX27ZJ1L
📱 Kindle: https://www.amazon.it/dp/B0GX2JR3F6
#DiariDiPelle #IntrecciSbagliati #NarrativaItaliana #NarrativaPsicologica #LibriDaLeggere</x:v>
      </x:c>
      <x:c r="Q85" s="81" t="str">
        <x:f>'TESTI'!J13</x:f>
        <x:v>https://diaridipelle.it/intrecci-sbagliati.html</x:v>
      </x:c>
      <x:c r="R85" s="81" t="str">
        <x:v>Meta Business Suite</x:v>
      </x:c>
      <x:c r="S85" s="117" t="str">
        <x:v>Programmabile</x:v>
      </x:c>
      <x:c r="T85" s="117" t="str">
        <x:v>Da fare</x:v>
      </x:c>
      <x:c r="U85" s="81" t="str">
        <x:v>Controlla ordine delle immagini e collegamenti nella caption.</x:v>
      </x:c>
      <x:c r="V85" s="81" t="str">
        <x:f>IF(AND(E85&lt;TODAY(),T85&lt;&gt;"Pubblicato"),"SÌ","")</x:f>
      </x:c>
    </x:row>
    <x:row r="86" ht="78" customHeight="1">
      <x:c r="A86" s="117" t="str">
        <x:v>T085</x:v>
      </x:c>
      <x:c r="B86" s="117" t="n">
        <x:v>7</x:v>
      </x:c>
      <x:c r="C86" s="118" t="n">
        <x:f>'CAMPAGNE'!F14</x:f>
        <x:v>46264</x:v>
      </x:c>
      <x:c r="D86" s="119" t="n">
        <x:v>0.75</x:v>
      </x:c>
      <x:c r="E86" s="120" t="n">
        <x:f>'CAMPAGNE'!H14</x:f>
        <x:v>46280</x:v>
      </x:c>
      <x:c r="F86" s="117" t="str">
        <x:f>CHOOSE(WEEKDAY(E86,2),"Lunedì","Martedì","Mercoledì","Giovedì","Venerdì","Sabato","Domenica")</x:f>
        <x:v>Martedì</x:v>
      </x:c>
      <x:c r="G86" s="119" t="n">
        <x:v>0.8333333333333334</x:v>
      </x:c>
      <x:c r="H86" s="117" t="str">
        <x:v>Instagram</x:v>
      </x:c>
      <x:c r="I86" s="117" t="str">
        <x:v>Reel</x:v>
      </x:c>
      <x:c r="J86" s="81" t="str">
        <x:v>Intrecci Sbagliati</x:v>
      </x:c>
      <x:c r="K86" s="117" t="str">
        <x:v>CH01</x:v>
      </x:c>
      <x:c r="L86" s="81" t="str">
        <x:v>Héloïse</x:v>
      </x:c>
      <x:c r="M86" s="81" t="str">
        <x:v>Carica il video, imposta la copertina, incolla la caption e programma.</x:v>
      </x:c>
      <x:c r="N86" s="81" t="str">
        <x:v>Intrecci_Sbagliati_Social_Pack/01_REELS/CH01_reel.mp4</x:v>
      </x:c>
      <x:c r="O86" s="81" t="str">
        <x:v>Intrecci_Sbagliati_Social_Pack/02_REEL_COVERS/CH01_cover.jpg</x:v>
      </x:c>
      <x:c r="P86" s="81" t="str">
        <x:f>'TESTI'!E14</x:f>
        <x:v>Al ritorno da Barcellona, una busta infilata nella porta e un nome scritto più volte cambiano il ritmo della residenza.
Con Héloïse l'amicizia diventa desiderio, ma il punto più delicato non è il gioco: è scoprire di essere entrati in un copione senza averlo letto.
Il primo capitolo di Intrecci Sbagliati apre il momento in cui le notti smettono di essere soltanto fugaci e iniziano ad avere conseguenze.
Scopri il libro dal link nel profilo.
#DiariDiPelle #IntrecciSbagliati #Héloïse #Relazioni #NarrativaContemporanea</x:v>
      </x:c>
      <x:c r="Q86" s="81" t="str">
        <x:f>'TESTI'!J14</x:f>
        <x:v>https://diaridipelle.it/intrecci-sbagliati.html</x:v>
      </x:c>
      <x:c r="R86" s="81" t="str">
        <x:v>App Instagram</x:v>
      </x:c>
      <x:c r="S86" s="117" t="str">
        <x:v>Programmabile</x:v>
      </x:c>
      <x:c r="T86" s="117" t="str">
        <x:v>Da fare</x:v>
      </x:c>
      <x:c r="U86" s="81" t="str">
        <x:v>Controlla audio, ritaglio 9:16 e anteprima copertina. Il link è nel profilo.</x:v>
      </x:c>
      <x:c r="V86" s="81" t="str">
        <x:f>IF(AND(E86&lt;TODAY(),T86&lt;&gt;"Pubblicato"),"SÌ","")</x:f>
      </x:c>
    </x:row>
    <x:row r="87" ht="78" customHeight="1">
      <x:c r="A87" s="117" t="str">
        <x:v>T086</x:v>
      </x:c>
      <x:c r="B87" s="117" t="n">
        <x:v>7</x:v>
      </x:c>
      <x:c r="C87" s="118" t="n">
        <x:f>'CAMPAGNE'!F14</x:f>
        <x:v>46264</x:v>
      </x:c>
      <x:c r="D87" s="119" t="n">
        <x:v>0.75</x:v>
      </x:c>
      <x:c r="E87" s="120" t="n">
        <x:f>'CAMPAGNE'!H14</x:f>
        <x:v>46280</x:v>
      </x:c>
      <x:c r="F87" s="117" t="str">
        <x:f>CHOOSE(WEEKDAY(E87,2),"Lunedì","Martedì","Mercoledì","Giovedì","Venerdì","Sabato","Domenica")</x:f>
        <x:v>Martedì</x:v>
      </x:c>
      <x:c r="G87" s="119" t="n">
        <x:v>0.8333333333333334</x:v>
      </x:c>
      <x:c r="H87" s="117" t="str">
        <x:v>Facebook</x:v>
      </x:c>
      <x:c r="I87" s="117" t="str">
        <x:v>Reel</x:v>
      </x:c>
      <x:c r="J87" s="81" t="str">
        <x:v>Intrecci Sbagliati</x:v>
      </x:c>
      <x:c r="K87" s="117" t="str">
        <x:v>CH01</x:v>
      </x:c>
      <x:c r="L87" s="81" t="str">
        <x:v>Héloïse</x:v>
      </x:c>
      <x:c r="M87" s="81" t="str">
        <x:v>Crea un Reel nella Pagina, carica video e copertina, incolla la caption e programma.</x:v>
      </x:c>
      <x:c r="N87" s="81" t="str">
        <x:v>Intrecci_Sbagliati_Social_Pack/01_REELS/CH01_reel.mp4</x:v>
      </x:c>
      <x:c r="O87" s="81" t="str">
        <x:v>Intrecci_Sbagliati_Social_Pack/02_REEL_COVERS/CH01_cover.jpg</x:v>
      </x:c>
      <x:c r="P87" s="81" t="str">
        <x:f>'TESTI'!F14</x:f>
        <x:v>Al ritorno da Barcellona, una busta infilata nella porta e un nome scritto più volte cambiano il ritmo della residenza.
Con Héloïse l'amicizia diventa desiderio, ma il punto più delicato non è il gioco: è scoprire di essere entrati in un copione senza averlo letto.
Il primo capitolo di Intrecci Sbagliati apre il momento in cui le notti smettono di essere soltanto fugaci e iniziano ad avere conseguenze.
Scopri il libro dal link nel profilo.
🌐 https://diaridipelle.it/intrecci-sbagliati.html
📕 Cartaceo: https://www.amazon.it/dp/B0GX27ZJ1L
📱 Kindle: https://www.amazon.it/dp/B0GX2JR3F6
#DiariDiPelle #IntrecciSbagliati #Héloïse #Relazioni #NarrativaContemporanea</x:v>
      </x:c>
      <x:c r="Q87" s="81" t="str">
        <x:f>'TESTI'!J14</x:f>
        <x:v>https://diaridipelle.it/intrecci-sbagliati.html</x:v>
      </x:c>
      <x:c r="R87" s="81" t="str">
        <x:v>Meta Business Suite</x:v>
      </x:c>
      <x:c r="S87" s="117" t="str">
        <x:v>Programmabile</x:v>
      </x:c>
      <x:c r="T87" s="117" t="str">
        <x:v>Da fare</x:v>
      </x:c>
      <x:c r="U87" s="81" t="str">
        <x:v>Pubblica sulla Pagina Facebook. I collegamenti nella caption sono cliccabili.</x:v>
      </x:c>
      <x:c r="V87" s="81" t="str">
        <x:f>IF(AND(E87&lt;TODAY(),T87&lt;&gt;"Pubblicato"),"SÌ","")</x:f>
      </x:c>
    </x:row>
    <x:row r="88" ht="78" customHeight="1">
      <x:c r="A88" s="117" t="str">
        <x:v>T087</x:v>
      </x:c>
      <x:c r="B88" s="117" t="n">
        <x:v>7</x:v>
      </x:c>
      <x:c r="C88" s="118" t="n">
        <x:f>'CAMPAGNE'!G14</x:f>
        <x:v>46278</x:v>
      </x:c>
      <x:c r="D88" s="119" t="n">
        <x:v>0.75</x:v>
      </x:c>
      <x:c r="E88" s="120" t="n">
        <x:f>'CAMPAGNE'!H14</x:f>
        <x:v>46280</x:v>
      </x:c>
      <x:c r="F88" s="117" t="str">
        <x:f>CHOOSE(WEEKDAY(E88,2),"Lunedì","Martedì","Mercoledì","Giovedì","Venerdì","Sabato","Domenica")</x:f>
        <x:v>Martedì</x:v>
      </x:c>
      <x:c r="G88" s="119" t="n">
        <x:v>0.8333333333333334</x:v>
      </x:c>
      <x:c r="H88" s="117" t="str">
        <x:v>TikTok</x:v>
      </x:c>
      <x:c r="I88" s="117" t="str">
        <x:v>Video</x:v>
      </x:c>
      <x:c r="J88" s="81" t="str">
        <x:v>Intrecci Sbagliati</x:v>
      </x:c>
      <x:c r="K88" s="117" t="str">
        <x:v>CH01</x:v>
      </x:c>
      <x:c r="L88" s="81" t="str">
        <x:v>Héloïse</x:v>
      </x:c>
      <x:c r="M88" s="81" t="str">
        <x:v>Carica il video in TikTok Studio, scegli la copertina, incolla la caption breve e programma.</x:v>
      </x:c>
      <x:c r="N88" s="81" t="str">
        <x:v>Intrecci_Sbagliati_Social_Pack/01_REELS/CH01_reel.mp4</x:v>
      </x:c>
      <x:c r="O88" s="81" t="str">
        <x:v>Intrecci_Sbagliati_Social_Pack/02_REEL_COVERS/CH01_cover.jpg</x:v>
      </x:c>
      <x:c r="P88" s="81" t="str">
        <x:f>'TESTI'!G14</x:f>
        <x:v>Al ritorno da Barcellona, una busta infilata nella porta e un nome scritto più volte cambiano il ritmo della residenza.
«Héloïse» da Intrecci Sbagliati.
Scopri il libro dal link in bio.
#DiariDiPelle #IntrecciSbagliati #BookTokItalia #LibriTikTok</x:v>
      </x:c>
      <x:c r="Q88" s="81" t="str">
        <x:f>'TESTI'!J14</x:f>
        <x:v>https://diaridipelle.it/intrecci-sbagliati.html</x:v>
      </x:c>
      <x:c r="R88" s="81" t="str">
        <x:v>TikTok Studio</x:v>
      </x:c>
      <x:c r="S88" s="117" t="str">
        <x:v>Programmabile entro 10 giorni</x:v>
      </x:c>
      <x:c r="T88" s="117" t="str">
        <x:v>Da fare</x:v>
      </x:c>
      <x:c r="U88" s="81" t="str">
        <x:v>Non aggiungere watermark. Controlla anteprima verticale e audio.</x:v>
      </x:c>
      <x:c r="V88" s="81" t="str">
        <x:f>IF(AND(E88&lt;TODAY(),T88&lt;&gt;"Pubblicato"),"SÌ","")</x:f>
      </x:c>
    </x:row>
    <x:row r="89" ht="78" customHeight="1">
      <x:c r="A89" s="117" t="str">
        <x:v>T088</x:v>
      </x:c>
      <x:c r="B89" s="117" t="n">
        <x:v>7</x:v>
      </x:c>
      <x:c r="C89" s="118" t="n">
        <x:f>'CAMPAGNE'!I14</x:f>
        <x:v>46281</x:v>
      </x:c>
      <x:c r="D89" s="119" t="n">
        <x:v>0.4965277777777778</x:v>
      </x:c>
      <x:c r="E89" s="120" t="n">
        <x:f>'CAMPAGNE'!I14</x:f>
        <x:v>46281</x:v>
      </x:c>
      <x:c r="F89" s="117" t="str">
        <x:f>CHOOSE(WEEKDAY(E89,2),"Lunedì","Martedì","Mercoledì","Giovedì","Venerdì","Sabato","Domenica")</x:f>
        <x:v>Mercoledì</x:v>
      </x:c>
      <x:c r="G89" s="119" t="n">
        <x:v>0.5</x:v>
      </x:c>
      <x:c r="H89" s="117" t="str">
        <x:v>Instagram</x:v>
      </x:c>
      <x:c r="I89" s="117" t="str">
        <x:v>Storia</x:v>
      </x:c>
      <x:c r="J89" s="81" t="str">
        <x:v>Intrecci Sbagliati</x:v>
      </x:c>
      <x:c r="K89" s="117" t="str">
        <x:v>CH01</x:v>
      </x:c>
      <x:c r="L89" s="81" t="str">
        <x:v>Héloïse</x:v>
      </x:c>
      <x:c r="M89" s="81" t="str">
        <x:v>Carica l'immagine, aggiungi l'adesivo Link e pubblica.</x:v>
      </x:c>
      <x:c r="N89" s="81" t="str">
        <x:v>Intrecci_Sbagliati_Social_Pack/04_STORIES/CH01_story.jpg</x:v>
      </x:c>
      <x:c r="O89" s="81" t="str">
        <x:v>Intrecci_Sbagliati_Social_Pack/05_CAPTIONS/CH01_story_link.txt</x:v>
      </x:c>
      <x:c r="P89" s="81" t="str">
        <x:f>'TESTI'!N14</x:f>
        <x:v>Tocca SCOPRI IL LIBRO e scegli cartaceo o Kindle.</x:v>
      </x:c>
      <x:c r="Q89" s="81" t="str">
        <x:f>'TESTI'!H14</x:f>
        <x:v>https://diaridipelle.it/intrecci-sbagliati.html?utm_source=instagram&amp;utm_medium=story&amp;utm_campaign=intrecci_sbagliati&amp;utm_content=ch01</x:v>
      </x:c>
      <x:c r="R89" s="81" t="str">
        <x:v>App Instagram</x:v>
      </x:c>
      <x:c r="S89" s="117" t="str">
        <x:v>Manuale</x:v>
      </x:c>
      <x:c r="T89" s="117" t="str">
        <x:v>Da fare</x:v>
      </x:c>
      <x:c r="U89" s="81" t="str">
        <x:v>La data lavoro è lo stesso giorno, 5 minuti prima. Testo adesivo: SCOPRI IL LIBRO.</x:v>
      </x:c>
      <x:c r="V89" s="81" t="str">
        <x:f>IF(AND(E89&lt;TODAY(),T89&lt;&gt;"Pubblicato"),"SÌ","")</x:f>
      </x:c>
    </x:row>
    <x:row r="90" ht="78" customHeight="1">
      <x:c r="A90" s="117" t="str">
        <x:v>T089</x:v>
      </x:c>
      <x:c r="B90" s="117" t="n">
        <x:v>7</x:v>
      </x:c>
      <x:c r="C90" s="118" t="n">
        <x:f>'CAMPAGNE'!F14</x:f>
        <x:v>46264</x:v>
      </x:c>
      <x:c r="D90" s="119" t="n">
        <x:v>0.75</x:v>
      </x:c>
      <x:c r="E90" s="120" t="n">
        <x:f>'CAMPAGNE'!I14</x:f>
        <x:v>46281</x:v>
      </x:c>
      <x:c r="F90" s="117" t="str">
        <x:f>CHOOSE(WEEKDAY(E90,2),"Lunedì","Martedì","Mercoledì","Giovedì","Venerdì","Sabato","Domenica")</x:f>
        <x:v>Mercoledì</x:v>
      </x:c>
      <x:c r="G90" s="119" t="n">
        <x:v>0.5</x:v>
      </x:c>
      <x:c r="H90" s="117" t="str">
        <x:v>Facebook</x:v>
      </x:c>
      <x:c r="I90" s="117" t="str">
        <x:v>Storia</x:v>
      </x:c>
      <x:c r="J90" s="81" t="str">
        <x:v>Intrecci Sbagliati</x:v>
      </x:c>
      <x:c r="K90" s="117" t="str">
        <x:v>CH01</x:v>
      </x:c>
      <x:c r="L90" s="81" t="str">
        <x:v>Héloïse</x:v>
      </x:c>
      <x:c r="M90" s="81" t="str">
        <x:v>Crea una Storia della Pagina, carica l'immagine, aggiungi il link e programma.</x:v>
      </x:c>
      <x:c r="N90" s="81" t="str">
        <x:v>Intrecci_Sbagliati_Social_Pack/04_STORIES/CH01_story.jpg</x:v>
      </x:c>
      <x:c r="O90" s="81" t="str">
        <x:v>Intrecci_Sbagliati_Social_Pack/05_CAPTIONS/CH01_story_link.txt</x:v>
      </x:c>
      <x:c r="P90" s="81" t="str">
        <x:f>'TESTI'!N14</x:f>
        <x:v>Tocca SCOPRI IL LIBRO e scegli cartaceo o Kindle.</x:v>
      </x:c>
      <x:c r="Q90" s="81" t="str">
        <x:f>'TESTI'!I14</x:f>
        <x:v>https://diaridipelle.it/intrecci-sbagliati.html?utm_source=facebook&amp;utm_medium=story&amp;utm_campaign=intrecci_sbagliati&amp;utm_content=ch01</x:v>
      </x:c>
      <x:c r="R90" s="81" t="str">
        <x:v>Meta Business Suite</x:v>
      </x:c>
      <x:c r="S90" s="117" t="str">
        <x:v>Programmabile</x:v>
      </x:c>
      <x:c r="T90" s="117" t="str">
        <x:v>Da fare</x:v>
      </x:c>
      <x:c r="U90" s="81" t="str">
        <x:v>Controlla che la destinazione sia la Pagina Facebook.</x:v>
      </x:c>
      <x:c r="V90" s="81" t="str">
        <x:f>IF(AND(E90&lt;TODAY(),T90&lt;&gt;"Pubblicato"),"SÌ","")</x:f>
      </x:c>
    </x:row>
    <x:row r="91" ht="78" customHeight="1">
      <x:c r="A91" s="117" t="str">
        <x:v>T090</x:v>
      </x:c>
      <x:c r="B91" s="117" t="n">
        <x:v>7</x:v>
      </x:c>
      <x:c r="C91" s="118" t="n">
        <x:f>'CAMPAGNE'!F14</x:f>
        <x:v>46264</x:v>
      </x:c>
      <x:c r="D91" s="119" t="n">
        <x:v>0.75</x:v>
      </x:c>
      <x:c r="E91" s="120" t="n">
        <x:f>'CAMPAGNE'!J14</x:f>
        <x:v>46282</x:v>
      </x:c>
      <x:c r="F91" s="117" t="str">
        <x:f>CHOOSE(WEEKDAY(E91,2),"Lunedì","Martedì","Mercoledì","Giovedì","Venerdì","Sabato","Domenica")</x:f>
        <x:v>Giovedì</x:v>
      </x:c>
      <x:c r="G91" s="119" t="n">
        <x:v>0.8333333333333334</x:v>
      </x:c>
      <x:c r="H91" s="117" t="str">
        <x:v>Instagram</x:v>
      </x:c>
      <x:c r="I91" s="117" t="str">
        <x:v>Carosello</x:v>
      </x:c>
      <x:c r="J91" s="81" t="str">
        <x:v>Intrecci Sbagliati</x:v>
      </x:c>
      <x:c r="K91" s="117" t="str">
        <x:v>CH01</x:v>
      </x:c>
      <x:c r="L91" s="81" t="str">
        <x:v>Héloïse</x:v>
      </x:c>
      <x:c r="M91" s="81" t="str">
        <x:v>Carica le tre immagini nell'ordine 01, 02, 03; incolla la caption e programma.</x:v>
      </x:c>
      <x:c r="N91" s="81" t="str">
        <x:v>Intrecci_Sbagliati_Social_Pack/03_CAROUSELS/CH01/CH01_01.jpg
Intrecci_Sbagliati_Social_Pack/03_CAROUSELS/CH01/CH01_02.jpg
Intrecci_Sbagliati_Social_Pack/03_CAROUSELS/CH01/CH01_03.jpg</x:v>
      </x:c>
      <x:c r="O91" s="81" t="str">
        <x:v>Ordine obbligatorio: 01 → 02 → 03</x:v>
      </x:c>
      <x:c r="P91" s="81" t="str">
        <x:f>'TESTI'!E14</x:f>
        <x:v>Al ritorno da Barcellona, una busta infilata nella porta e un nome scritto più volte cambiano il ritmo della residenza.
Con Héloïse l'amicizia diventa desiderio, ma il punto più delicato non è il gioco: è scoprire di essere entrati in un copione senza averlo letto.
Il primo capitolo di Intrecci Sbagliati apre il momento in cui le notti smettono di essere soltanto fugaci e iniziano ad avere conseguenze.
Scopri il libro dal link nel profilo.
#DiariDiPelle #IntrecciSbagliati #Héloïse #Relazioni #NarrativaContemporanea</x:v>
      </x:c>
      <x:c r="Q91" s="81" t="str">
        <x:f>'TESTI'!J14</x:f>
        <x:v>https://diaridipelle.it/intrecci-sbagliati.html</x:v>
      </x:c>
      <x:c r="R91" s="81" t="str">
        <x:v>App Instagram</x:v>
      </x:c>
      <x:c r="S91" s="117" t="str">
        <x:v>Programmabile</x:v>
      </x:c>
      <x:c r="T91" s="117" t="str">
        <x:v>Da fare</x:v>
      </x:c>
      <x:c r="U91" s="81" t="str">
        <x:v>Verifica che nessuna slide sia tagliata. Il link è nel profilo.</x:v>
      </x:c>
      <x:c r="V91" s="81" t="str">
        <x:f>IF(AND(E91&lt;TODAY(),T91&lt;&gt;"Pubblicato"),"SÌ","")</x:f>
      </x:c>
    </x:row>
    <x:row r="92" ht="78" customHeight="1">
      <x:c r="A92" s="117" t="str">
        <x:v>T091</x:v>
      </x:c>
      <x:c r="B92" s="117" t="n">
        <x:v>7</x:v>
      </x:c>
      <x:c r="C92" s="118" t="n">
        <x:f>'CAMPAGNE'!F14</x:f>
        <x:v>46264</x:v>
      </x:c>
      <x:c r="D92" s="119" t="n">
        <x:v>0.75</x:v>
      </x:c>
      <x:c r="E92" s="120" t="n">
        <x:f>'CAMPAGNE'!J14</x:f>
        <x:v>46282</x:v>
      </x:c>
      <x:c r="F92" s="117" t="str">
        <x:f>CHOOSE(WEEKDAY(E92,2),"Lunedì","Martedì","Mercoledì","Giovedì","Venerdì","Sabato","Domenica")</x:f>
        <x:v>Giovedì</x:v>
      </x:c>
      <x:c r="G92" s="119" t="n">
        <x:v>0.8333333333333334</x:v>
      </x:c>
      <x:c r="H92" s="117" t="str">
        <x:v>Facebook</x:v>
      </x:c>
      <x:c r="I92" s="117" t="str">
        <x:v>Carosello</x:v>
      </x:c>
      <x:c r="J92" s="81" t="str">
        <x:v>Intrecci Sbagliati</x:v>
      </x:c>
      <x:c r="K92" s="117" t="str">
        <x:v>CH01</x:v>
      </x:c>
      <x:c r="L92" s="81" t="str">
        <x:v>Héloïse</x:v>
      </x:c>
      <x:c r="M92" s="81" t="str">
        <x:v>Carica le tre immagini nell'ordine 01, 02, 03; incolla la caption e programma.</x:v>
      </x:c>
      <x:c r="N92" s="81" t="str">
        <x:v>Intrecci_Sbagliati_Social_Pack/03_CAROUSELS/CH01/CH01_01.jpg
Intrecci_Sbagliati_Social_Pack/03_CAROUSELS/CH01/CH01_02.jpg
Intrecci_Sbagliati_Social_Pack/03_CAROUSELS/CH01/CH01_03.jpg</x:v>
      </x:c>
      <x:c r="O92" s="81" t="str">
        <x:v>Ordine obbligatorio: 01 → 02 → 03</x:v>
      </x:c>
      <x:c r="P92" s="81" t="str">
        <x:f>'TESTI'!F14</x:f>
        <x:v>Al ritorno da Barcellona, una busta infilata nella porta e un nome scritto più volte cambiano il ritmo della residenza.
Con Héloïse l'amicizia diventa desiderio, ma il punto più delicato non è il gioco: è scoprire di essere entrati in un copione senza averlo letto.
Il primo capitolo di Intrecci Sbagliati apre il momento in cui le notti smettono di essere soltanto fugaci e iniziano ad avere conseguenze.
Scopri il libro dal link nel profilo.
🌐 https://diaridipelle.it/intrecci-sbagliati.html
📕 Cartaceo: https://www.amazon.it/dp/B0GX27ZJ1L
📱 Kindle: https://www.amazon.it/dp/B0GX2JR3F6
#DiariDiPelle #IntrecciSbagliati #Héloïse #Relazioni #NarrativaContemporanea</x:v>
      </x:c>
      <x:c r="Q92" s="81" t="str">
        <x:f>'TESTI'!J14</x:f>
        <x:v>https://diaridipelle.it/intrecci-sbagliati.html</x:v>
      </x:c>
      <x:c r="R92" s="81" t="str">
        <x:v>Meta Business Suite</x:v>
      </x:c>
      <x:c r="S92" s="117" t="str">
        <x:v>Programmabile</x:v>
      </x:c>
      <x:c r="T92" s="117" t="str">
        <x:v>Da fare</x:v>
      </x:c>
      <x:c r="U92" s="81" t="str">
        <x:v>Controlla ordine delle immagini e collegamenti nella caption.</x:v>
      </x:c>
      <x:c r="V92" s="81" t="str">
        <x:f>IF(AND(E92&lt;TODAY(),T92&lt;&gt;"Pubblicato"),"SÌ","")</x:f>
      </x:c>
    </x:row>
    <x:row r="93" ht="78" customHeight="1">
      <x:c r="A93" s="117" t="str">
        <x:v>T092</x:v>
      </x:c>
      <x:c r="B93" s="117" t="n">
        <x:v>7</x:v>
      </x:c>
      <x:c r="C93" s="118" t="n">
        <x:f>'CAMPAGNE'!F15</x:f>
        <x:v>46264</x:v>
      </x:c>
      <x:c r="D93" s="119" t="n">
        <x:v>0.75</x:v>
      </x:c>
      <x:c r="E93" s="120" t="n">
        <x:f>'CAMPAGNE'!H15</x:f>
        <x:v>46283</x:v>
      </x:c>
      <x:c r="F93" s="117" t="str">
        <x:f>CHOOSE(WEEKDAY(E93,2),"Lunedì","Martedì","Mercoledì","Giovedì","Venerdì","Sabato","Domenica")</x:f>
        <x:v>Venerdì</x:v>
      </x:c>
      <x:c r="G93" s="119" t="n">
        <x:v>0.8333333333333334</x:v>
      </x:c>
      <x:c r="H93" s="117" t="str">
        <x:v>Instagram</x:v>
      </x:c>
      <x:c r="I93" s="117" t="str">
        <x:v>Reel</x:v>
      </x:c>
      <x:c r="J93" s="81" t="str">
        <x:v>Intrecci Sbagliati</x:v>
      </x:c>
      <x:c r="K93" s="117" t="str">
        <x:v>CH02</x:v>
      </x:c>
      <x:c r="L93" s="81" t="str">
        <x:v>Greta</x:v>
      </x:c>
      <x:c r="M93" s="81" t="str">
        <x:v>Carica il video, imposta la copertina, incolla la caption e programma.</x:v>
      </x:c>
      <x:c r="N93" s="81" t="str">
        <x:v>Intrecci_Sbagliati_Social_Pack/01_REELS/CH02_reel.mp4</x:v>
      </x:c>
      <x:c r="O93" s="81" t="str">
        <x:v>Intrecci_Sbagliati_Social_Pack/02_REEL_COVERS/CH02_cover.jpg</x:v>
      </x:c>
      <x:c r="P93" s="81" t="str">
        <x:f>'TESTI'!E15</x:f>
        <x:v>Greta sembrava trasformare ogni stanza nel proprio centro senza fare nulla per esserlo.
Tra Bretagna, Normandia e corridoi universitari, il desiderio diventa una marea: torna quando credi di essere al sicuro e fa male soprattutto a chi vorrebbe sentirsi unico.
Greta non è raccontata come una ferita, ma come un promemoria: alcune persone possono bruciare con te senza appartenerti.
Leggi Intrecci Sbagliati dal link nel profilo.
#DiariDiPelle #IntrecciSbagliati #Greta #Libertà #LibriItaliani</x:v>
      </x:c>
      <x:c r="Q93" s="81" t="str">
        <x:f>'TESTI'!J15</x:f>
        <x:v>https://diaridipelle.it/intrecci-sbagliati.html</x:v>
      </x:c>
      <x:c r="R93" s="81" t="str">
        <x:v>App Instagram</x:v>
      </x:c>
      <x:c r="S93" s="117" t="str">
        <x:v>Programmabile</x:v>
      </x:c>
      <x:c r="T93" s="117" t="str">
        <x:v>Da fare</x:v>
      </x:c>
      <x:c r="U93" s="81" t="str">
        <x:v>Controlla audio, ritaglio 9:16 e anteprima copertina. Il link è nel profilo.</x:v>
      </x:c>
      <x:c r="V93" s="81" t="str">
        <x:f>IF(AND(E93&lt;TODAY(),T93&lt;&gt;"Pubblicato"),"SÌ","")</x:f>
      </x:c>
    </x:row>
    <x:row r="94" ht="78" customHeight="1">
      <x:c r="A94" s="117" t="str">
        <x:v>T093</x:v>
      </x:c>
      <x:c r="B94" s="117" t="n">
        <x:v>7</x:v>
      </x:c>
      <x:c r="C94" s="118" t="n">
        <x:f>'CAMPAGNE'!F15</x:f>
        <x:v>46264</x:v>
      </x:c>
      <x:c r="D94" s="119" t="n">
        <x:v>0.75</x:v>
      </x:c>
      <x:c r="E94" s="120" t="n">
        <x:f>'CAMPAGNE'!H15</x:f>
        <x:v>46283</x:v>
      </x:c>
      <x:c r="F94" s="117" t="str">
        <x:f>CHOOSE(WEEKDAY(E94,2),"Lunedì","Martedì","Mercoledì","Giovedì","Venerdì","Sabato","Domenica")</x:f>
        <x:v>Venerdì</x:v>
      </x:c>
      <x:c r="G94" s="119" t="n">
        <x:v>0.8333333333333334</x:v>
      </x:c>
      <x:c r="H94" s="117" t="str">
        <x:v>Facebook</x:v>
      </x:c>
      <x:c r="I94" s="117" t="str">
        <x:v>Reel</x:v>
      </x:c>
      <x:c r="J94" s="81" t="str">
        <x:v>Intrecci Sbagliati</x:v>
      </x:c>
      <x:c r="K94" s="117" t="str">
        <x:v>CH02</x:v>
      </x:c>
      <x:c r="L94" s="81" t="str">
        <x:v>Greta</x:v>
      </x:c>
      <x:c r="M94" s="81" t="str">
        <x:v>Crea un Reel nella Pagina, carica video e copertina, incolla la caption e programma.</x:v>
      </x:c>
      <x:c r="N94" s="81" t="str">
        <x:v>Intrecci_Sbagliati_Social_Pack/01_REELS/CH02_reel.mp4</x:v>
      </x:c>
      <x:c r="O94" s="81" t="str">
        <x:v>Intrecci_Sbagliati_Social_Pack/02_REEL_COVERS/CH02_cover.jpg</x:v>
      </x:c>
      <x:c r="P94" s="81" t="str">
        <x:f>'TESTI'!F15</x:f>
        <x:v>Greta sembrava trasformare ogni stanza nel proprio centro senza fare nulla per esserlo.
Tra Bretagna, Normandia e corridoi universitari, il desiderio diventa una marea: torna quando credi di essere al sicuro e fa male soprattutto a chi vorrebbe sentirsi unico.
Greta non è raccontata come una ferita, ma come un promemoria: alcune persone possono bruciare con te senza appartenerti.
Leggi Intrecci Sbagliati dal link nel profilo.
🌐 https://diaridipelle.it/intrecci-sbagliati.html
📕 Cartaceo: https://www.amazon.it/dp/B0GX27ZJ1L
📱 Kindle: https://www.amazon.it/dp/B0GX2JR3F6
#DiariDiPelle #IntrecciSbagliati #Greta #Libertà #LibriItaliani</x:v>
      </x:c>
      <x:c r="Q94" s="81" t="str">
        <x:f>'TESTI'!J15</x:f>
        <x:v>https://diaridipelle.it/intrecci-sbagliati.html</x:v>
      </x:c>
      <x:c r="R94" s="81" t="str">
        <x:v>Meta Business Suite</x:v>
      </x:c>
      <x:c r="S94" s="117" t="str">
        <x:v>Programmabile</x:v>
      </x:c>
      <x:c r="T94" s="117" t="str">
        <x:v>Da fare</x:v>
      </x:c>
      <x:c r="U94" s="81" t="str">
        <x:v>Pubblica sulla Pagina Facebook. I collegamenti nella caption sono cliccabili.</x:v>
      </x:c>
      <x:c r="V94" s="81" t="str">
        <x:f>IF(AND(E94&lt;TODAY(),T94&lt;&gt;"Pubblicato"),"SÌ","")</x:f>
      </x:c>
    </x:row>
    <x:row r="95" ht="78" customHeight="1">
      <x:c r="A95" s="117" t="str">
        <x:v>T094</x:v>
      </x:c>
      <x:c r="B95" s="117" t="n">
        <x:v>7</x:v>
      </x:c>
      <x:c r="C95" s="118" t="n">
        <x:f>'CAMPAGNE'!G15</x:f>
        <x:v>46278</x:v>
      </x:c>
      <x:c r="D95" s="119" t="n">
        <x:v>0.75</x:v>
      </x:c>
      <x:c r="E95" s="120" t="n">
        <x:f>'CAMPAGNE'!H15</x:f>
        <x:v>46283</x:v>
      </x:c>
      <x:c r="F95" s="117" t="str">
        <x:f>CHOOSE(WEEKDAY(E95,2),"Lunedì","Martedì","Mercoledì","Giovedì","Venerdì","Sabato","Domenica")</x:f>
        <x:v>Venerdì</x:v>
      </x:c>
      <x:c r="G95" s="119" t="n">
        <x:v>0.8333333333333334</x:v>
      </x:c>
      <x:c r="H95" s="117" t="str">
        <x:v>TikTok</x:v>
      </x:c>
      <x:c r="I95" s="117" t="str">
        <x:v>Video</x:v>
      </x:c>
      <x:c r="J95" s="81" t="str">
        <x:v>Intrecci Sbagliati</x:v>
      </x:c>
      <x:c r="K95" s="117" t="str">
        <x:v>CH02</x:v>
      </x:c>
      <x:c r="L95" s="81" t="str">
        <x:v>Greta</x:v>
      </x:c>
      <x:c r="M95" s="81" t="str">
        <x:v>Carica il video in TikTok Studio, scegli la copertina, incolla la caption breve e programma.</x:v>
      </x:c>
      <x:c r="N95" s="81" t="str">
        <x:v>Intrecci_Sbagliati_Social_Pack/01_REELS/CH02_reel.mp4</x:v>
      </x:c>
      <x:c r="O95" s="81" t="str">
        <x:v>Intrecci_Sbagliati_Social_Pack/02_REEL_COVERS/CH02_cover.jpg</x:v>
      </x:c>
      <x:c r="P95" s="81" t="str">
        <x:f>'TESTI'!G15</x:f>
        <x:v>Greta sembrava trasformare ogni stanza nel proprio centro senza fare nulla per esserlo.
«Greta» da Intrecci Sbagliati.
Scopri il libro dal link in bio.
#DiariDiPelle #IntrecciSbagliati #BookTokItalia #LibriTikTok</x:v>
      </x:c>
      <x:c r="Q95" s="81" t="str">
        <x:f>'TESTI'!J15</x:f>
        <x:v>https://diaridipelle.it/intrecci-sbagliati.html</x:v>
      </x:c>
      <x:c r="R95" s="81" t="str">
        <x:v>TikTok Studio</x:v>
      </x:c>
      <x:c r="S95" s="117" t="str">
        <x:v>Programmabile entro 10 giorni</x:v>
      </x:c>
      <x:c r="T95" s="117" t="str">
        <x:v>Da fare</x:v>
      </x:c>
      <x:c r="U95" s="81" t="str">
        <x:v>Non aggiungere watermark. Controlla anteprima verticale e audio.</x:v>
      </x:c>
      <x:c r="V95" s="81" t="str">
        <x:f>IF(AND(E95&lt;TODAY(),T95&lt;&gt;"Pubblicato"),"SÌ","")</x:f>
      </x:c>
    </x:row>
    <x:row r="96" ht="78" customHeight="1">
      <x:c r="A96" s="117" t="str">
        <x:v>T095</x:v>
      </x:c>
      <x:c r="B96" s="117" t="n">
        <x:v>7</x:v>
      </x:c>
      <x:c r="C96" s="118" t="n">
        <x:f>'CAMPAGNE'!I15</x:f>
        <x:v>46284</x:v>
      </x:c>
      <x:c r="D96" s="119" t="n">
        <x:v>0.4965277777777778</x:v>
      </x:c>
      <x:c r="E96" s="120" t="n">
        <x:f>'CAMPAGNE'!I15</x:f>
        <x:v>46284</x:v>
      </x:c>
      <x:c r="F96" s="117" t="str">
        <x:f>CHOOSE(WEEKDAY(E96,2),"Lunedì","Martedì","Mercoledì","Giovedì","Venerdì","Sabato","Domenica")</x:f>
        <x:v>Sabato</x:v>
      </x:c>
      <x:c r="G96" s="119" t="n">
        <x:v>0.5</x:v>
      </x:c>
      <x:c r="H96" s="117" t="str">
        <x:v>Instagram</x:v>
      </x:c>
      <x:c r="I96" s="117" t="str">
        <x:v>Storia</x:v>
      </x:c>
      <x:c r="J96" s="81" t="str">
        <x:v>Intrecci Sbagliati</x:v>
      </x:c>
      <x:c r="K96" s="117" t="str">
        <x:v>CH02</x:v>
      </x:c>
      <x:c r="L96" s="81" t="str">
        <x:v>Greta</x:v>
      </x:c>
      <x:c r="M96" s="81" t="str">
        <x:v>Carica l'immagine, aggiungi l'adesivo Link e pubblica.</x:v>
      </x:c>
      <x:c r="N96" s="81" t="str">
        <x:v>Intrecci_Sbagliati_Social_Pack/04_STORIES/CH02_story.jpg</x:v>
      </x:c>
      <x:c r="O96" s="81" t="str">
        <x:v>Intrecci_Sbagliati_Social_Pack/05_CAPTIONS/CH02_story_link.txt</x:v>
      </x:c>
      <x:c r="P96" s="81" t="str">
        <x:f>'TESTI'!N15</x:f>
        <x:v>Tocca SCOPRI IL LIBRO e scegli cartaceo o Kindle.</x:v>
      </x:c>
      <x:c r="Q96" s="81" t="str">
        <x:f>'TESTI'!H15</x:f>
        <x:v>https://diaridipelle.it/intrecci-sbagliati.html?utm_source=instagram&amp;utm_medium=story&amp;utm_campaign=intrecci_sbagliati&amp;utm_content=ch02</x:v>
      </x:c>
      <x:c r="R96" s="81" t="str">
        <x:v>App Instagram</x:v>
      </x:c>
      <x:c r="S96" s="117" t="str">
        <x:v>Manuale</x:v>
      </x:c>
      <x:c r="T96" s="117" t="str">
        <x:v>Da fare</x:v>
      </x:c>
      <x:c r="U96" s="81" t="str">
        <x:v>La data lavoro è lo stesso giorno, 5 minuti prima. Testo adesivo: SCOPRI IL LIBRO.</x:v>
      </x:c>
      <x:c r="V96" s="81" t="str">
        <x:f>IF(AND(E96&lt;TODAY(),T96&lt;&gt;"Pubblicato"),"SÌ","")</x:f>
      </x:c>
    </x:row>
    <x:row r="97" ht="78" customHeight="1">
      <x:c r="A97" s="117" t="str">
        <x:v>T096</x:v>
      </x:c>
      <x:c r="B97" s="117" t="n">
        <x:v>7</x:v>
      </x:c>
      <x:c r="C97" s="118" t="n">
        <x:f>'CAMPAGNE'!F15</x:f>
        <x:v>46264</x:v>
      </x:c>
      <x:c r="D97" s="119" t="n">
        <x:v>0.75</x:v>
      </x:c>
      <x:c r="E97" s="120" t="n">
        <x:f>'CAMPAGNE'!I15</x:f>
        <x:v>46284</x:v>
      </x:c>
      <x:c r="F97" s="117" t="str">
        <x:f>CHOOSE(WEEKDAY(E97,2),"Lunedì","Martedì","Mercoledì","Giovedì","Venerdì","Sabato","Domenica")</x:f>
        <x:v>Sabato</x:v>
      </x:c>
      <x:c r="G97" s="119" t="n">
        <x:v>0.5</x:v>
      </x:c>
      <x:c r="H97" s="117" t="str">
        <x:v>Facebook</x:v>
      </x:c>
      <x:c r="I97" s="117" t="str">
        <x:v>Storia</x:v>
      </x:c>
      <x:c r="J97" s="81" t="str">
        <x:v>Intrecci Sbagliati</x:v>
      </x:c>
      <x:c r="K97" s="117" t="str">
        <x:v>CH02</x:v>
      </x:c>
      <x:c r="L97" s="81" t="str">
        <x:v>Greta</x:v>
      </x:c>
      <x:c r="M97" s="81" t="str">
        <x:v>Crea una Storia della Pagina, carica l'immagine, aggiungi il link e programma.</x:v>
      </x:c>
      <x:c r="N97" s="81" t="str">
        <x:v>Intrecci_Sbagliati_Social_Pack/04_STORIES/CH02_story.jpg</x:v>
      </x:c>
      <x:c r="O97" s="81" t="str">
        <x:v>Intrecci_Sbagliati_Social_Pack/05_CAPTIONS/CH02_story_link.txt</x:v>
      </x:c>
      <x:c r="P97" s="81" t="str">
        <x:f>'TESTI'!N15</x:f>
        <x:v>Tocca SCOPRI IL LIBRO e scegli cartaceo o Kindle.</x:v>
      </x:c>
      <x:c r="Q97" s="81" t="str">
        <x:f>'TESTI'!I15</x:f>
        <x:v>https://diaridipelle.it/intrecci-sbagliati.html?utm_source=facebook&amp;utm_medium=story&amp;utm_campaign=intrecci_sbagliati&amp;utm_content=ch02</x:v>
      </x:c>
      <x:c r="R97" s="81" t="str">
        <x:v>Meta Business Suite</x:v>
      </x:c>
      <x:c r="S97" s="117" t="str">
        <x:v>Programmabile</x:v>
      </x:c>
      <x:c r="T97" s="117" t="str">
        <x:v>Da fare</x:v>
      </x:c>
      <x:c r="U97" s="81" t="str">
        <x:v>Controlla che la destinazione sia la Pagina Facebook.</x:v>
      </x:c>
      <x:c r="V97" s="81" t="str">
        <x:f>IF(AND(E97&lt;TODAY(),T97&lt;&gt;"Pubblicato"),"SÌ","")</x:f>
      </x:c>
    </x:row>
    <x:row r="98" ht="78" customHeight="1">
      <x:c r="A98" s="117" t="str">
        <x:v>T097</x:v>
      </x:c>
      <x:c r="B98" s="117" t="n">
        <x:v>7</x:v>
      </x:c>
      <x:c r="C98" s="118" t="n">
        <x:f>'CAMPAGNE'!F15</x:f>
        <x:v>46264</x:v>
      </x:c>
      <x:c r="D98" s="119" t="n">
        <x:v>0.75</x:v>
      </x:c>
      <x:c r="E98" s="120" t="n">
        <x:f>'CAMPAGNE'!J15</x:f>
        <x:v>46285</x:v>
      </x:c>
      <x:c r="F98" s="117" t="str">
        <x:f>CHOOSE(WEEKDAY(E98,2),"Lunedì","Martedì","Mercoledì","Giovedì","Venerdì","Sabato","Domenica")</x:f>
        <x:v>Domenica</x:v>
      </x:c>
      <x:c r="G98" s="119" t="n">
        <x:v>0.4583333333333333</x:v>
      </x:c>
      <x:c r="H98" s="117" t="str">
        <x:v>Instagram</x:v>
      </x:c>
      <x:c r="I98" s="117" t="str">
        <x:v>Carosello</x:v>
      </x:c>
      <x:c r="J98" s="81" t="str">
        <x:v>Intrecci Sbagliati</x:v>
      </x:c>
      <x:c r="K98" s="117" t="str">
        <x:v>CH02</x:v>
      </x:c>
      <x:c r="L98" s="81" t="str">
        <x:v>Greta</x:v>
      </x:c>
      <x:c r="M98" s="81" t="str">
        <x:v>Carica le tre immagini nell'ordine 01, 02, 03; incolla la caption e programma.</x:v>
      </x:c>
      <x:c r="N98" s="81" t="str">
        <x:v>Intrecci_Sbagliati_Social_Pack/03_CAROUSELS/CH02/CH02_01.jpg
Intrecci_Sbagliati_Social_Pack/03_CAROUSELS/CH02/CH02_02.jpg
Intrecci_Sbagliati_Social_Pack/03_CAROUSELS/CH02/CH02_03.jpg</x:v>
      </x:c>
      <x:c r="O98" s="81" t="str">
        <x:v>Ordine obbligatorio: 01 → 02 → 03</x:v>
      </x:c>
      <x:c r="P98" s="81" t="str">
        <x:f>'TESTI'!E15</x:f>
        <x:v>Greta sembrava trasformare ogni stanza nel proprio centro senza fare nulla per esserlo.
Tra Bretagna, Normandia e corridoi universitari, il desiderio diventa una marea: torna quando credi di essere al sicuro e fa male soprattutto a chi vorrebbe sentirsi unico.
Greta non è raccontata come una ferita, ma come un promemoria: alcune persone possono bruciare con te senza appartenerti.
Leggi Intrecci Sbagliati dal link nel profilo.
#DiariDiPelle #IntrecciSbagliati #Greta #Libertà #LibriItaliani</x:v>
      </x:c>
      <x:c r="Q98" s="81" t="str">
        <x:f>'TESTI'!J15</x:f>
        <x:v>https://diaridipelle.it/intrecci-sbagliati.html</x:v>
      </x:c>
      <x:c r="R98" s="81" t="str">
        <x:v>App Instagram</x:v>
      </x:c>
      <x:c r="S98" s="117" t="str">
        <x:v>Programmabile</x:v>
      </x:c>
      <x:c r="T98" s="117" t="str">
        <x:v>Da fare</x:v>
      </x:c>
      <x:c r="U98" s="81" t="str">
        <x:v>Verifica che nessuna slide sia tagliata. Il link è nel profilo.</x:v>
      </x:c>
      <x:c r="V98" s="81" t="str">
        <x:f>IF(AND(E98&lt;TODAY(),T98&lt;&gt;"Pubblicato"),"SÌ","")</x:f>
      </x:c>
    </x:row>
    <x:row r="99" ht="78" customHeight="1">
      <x:c r="A99" s="117" t="str">
        <x:v>T098</x:v>
      </x:c>
      <x:c r="B99" s="117" t="n">
        <x:v>7</x:v>
      </x:c>
      <x:c r="C99" s="118" t="n">
        <x:f>'CAMPAGNE'!F15</x:f>
        <x:v>46264</x:v>
      </x:c>
      <x:c r="D99" s="119" t="n">
        <x:v>0.75</x:v>
      </x:c>
      <x:c r="E99" s="120" t="n">
        <x:f>'CAMPAGNE'!J15</x:f>
        <x:v>46285</x:v>
      </x:c>
      <x:c r="F99" s="117" t="str">
        <x:f>CHOOSE(WEEKDAY(E99,2),"Lunedì","Martedì","Mercoledì","Giovedì","Venerdì","Sabato","Domenica")</x:f>
        <x:v>Domenica</x:v>
      </x:c>
      <x:c r="G99" s="119" t="n">
        <x:v>0.4583333333333333</x:v>
      </x:c>
      <x:c r="H99" s="117" t="str">
        <x:v>Facebook</x:v>
      </x:c>
      <x:c r="I99" s="117" t="str">
        <x:v>Carosello</x:v>
      </x:c>
      <x:c r="J99" s="81" t="str">
        <x:v>Intrecci Sbagliati</x:v>
      </x:c>
      <x:c r="K99" s="117" t="str">
        <x:v>CH02</x:v>
      </x:c>
      <x:c r="L99" s="81" t="str">
        <x:v>Greta</x:v>
      </x:c>
      <x:c r="M99" s="81" t="str">
        <x:v>Carica le tre immagini nell'ordine 01, 02, 03; incolla la caption e programma.</x:v>
      </x:c>
      <x:c r="N99" s="81" t="str">
        <x:v>Intrecci_Sbagliati_Social_Pack/03_CAROUSELS/CH02/CH02_01.jpg
Intrecci_Sbagliati_Social_Pack/03_CAROUSELS/CH02/CH02_02.jpg
Intrecci_Sbagliati_Social_Pack/03_CAROUSELS/CH02/CH02_03.jpg</x:v>
      </x:c>
      <x:c r="O99" s="81" t="str">
        <x:v>Ordine obbligatorio: 01 → 02 → 03</x:v>
      </x:c>
      <x:c r="P99" s="81" t="str">
        <x:f>'TESTI'!F15</x:f>
        <x:v>Greta sembrava trasformare ogni stanza nel proprio centro senza fare nulla per esserlo.
Tra Bretagna, Normandia e corridoi universitari, il desiderio diventa una marea: torna quando credi di essere al sicuro e fa male soprattutto a chi vorrebbe sentirsi unico.
Greta non è raccontata come una ferita, ma come un promemoria: alcune persone possono bruciare con te senza appartenerti.
Leggi Intrecci Sbagliati dal link nel profilo.
🌐 https://diaridipelle.it/intrecci-sbagliati.html
📕 Cartaceo: https://www.amazon.it/dp/B0GX27ZJ1L
📱 Kindle: https://www.amazon.it/dp/B0GX2JR3F6
#DiariDiPelle #IntrecciSbagliati #Greta #Libertà #LibriItaliani</x:v>
      </x:c>
      <x:c r="Q99" s="81" t="str">
        <x:f>'TESTI'!J15</x:f>
        <x:v>https://diaridipelle.it/intrecci-sbagliati.html</x:v>
      </x:c>
      <x:c r="R99" s="81" t="str">
        <x:v>Meta Business Suite</x:v>
      </x:c>
      <x:c r="S99" s="117" t="str">
        <x:v>Programmabile</x:v>
      </x:c>
      <x:c r="T99" s="117" t="str">
        <x:v>Da fare</x:v>
      </x:c>
      <x:c r="U99" s="81" t="str">
        <x:v>Controlla ordine delle immagini e collegamenti nella caption.</x:v>
      </x:c>
      <x:c r="V99" s="81" t="str">
        <x:f>IF(AND(E99&lt;TODAY(),T99&lt;&gt;"Pubblicato"),"SÌ","")</x:f>
      </x:c>
    </x:row>
    <x:row r="100" ht="78" customHeight="1">
      <x:c r="A100" s="117" t="str">
        <x:v>T099</x:v>
      </x:c>
      <x:c r="B100" s="117" t="n">
        <x:v>8</x:v>
      </x:c>
      <x:c r="C100" s="118" t="n">
        <x:f>'CAMPAGNE'!F16</x:f>
        <x:v>46264</x:v>
      </x:c>
      <x:c r="D100" s="119" t="n">
        <x:v>0.75</x:v>
      </x:c>
      <x:c r="E100" s="120" t="n">
        <x:f>'CAMPAGNE'!H16</x:f>
        <x:v>46287</x:v>
      </x:c>
      <x:c r="F100" s="117" t="str">
        <x:f>CHOOSE(WEEKDAY(E100,2),"Lunedì","Martedì","Mercoledì","Giovedì","Venerdì","Sabato","Domenica")</x:f>
        <x:v>Martedì</x:v>
      </x:c>
      <x:c r="G100" s="119" t="n">
        <x:v>0.8333333333333334</x:v>
      </x:c>
      <x:c r="H100" s="117" t="str">
        <x:v>Instagram</x:v>
      </x:c>
      <x:c r="I100" s="117" t="str">
        <x:v>Reel</x:v>
      </x:c>
      <x:c r="J100" s="81" t="str">
        <x:v>Intrecci Sbagliati</x:v>
      </x:c>
      <x:c r="K100" s="117" t="str">
        <x:v>CH03</x:v>
      </x:c>
      <x:c r="L100" s="81" t="str">
        <x:v>Rossella</x:v>
      </x:c>
      <x:c r="M100" s="81" t="str">
        <x:v>Carica il video, imposta la copertina, incolla la caption e programma.</x:v>
      </x:c>
      <x:c r="N100" s="81" t="str">
        <x:v>Intrecci_Sbagliati_Social_Pack/01_REELS/CH03_reel.mp4</x:v>
      </x:c>
      <x:c r="O100" s="81" t="str">
        <x:v>Intrecci_Sbagliati_Social_Pack/02_REEL_COVERS/CH03_cover.jpg</x:v>
      </x:c>
      <x:c r="P100" s="81" t="str">
        <x:f>'TESTI'!E16</x:f>
        <x:v>L'orologio del Musée d'Orsay continua a girare mentre Rossella ha già deciso dove fermarsi.
Sessanta giorni, nessuna promessa di eternità e un ultimo addio sotto la pioggia. Alcune storie sono brevi, ma lasciano nella memoria una durata che il calendario non sa misurare.
Rossella è il terzo capitolo di Intrecci Sbagliati: il racconto di ciò che è stato giusto proprio perché non poteva durare.
Scopri il libro completo dal link nel profilo.
#DiariDiPelle #IntrecciSbagliati #MuséeDOrsay #Parigi #NarrativaItaliana</x:v>
      </x:c>
      <x:c r="Q100" s="81" t="str">
        <x:f>'TESTI'!J16</x:f>
        <x:v>https://diaridipelle.it/intrecci-sbagliati.html</x:v>
      </x:c>
      <x:c r="R100" s="81" t="str">
        <x:v>App Instagram</x:v>
      </x:c>
      <x:c r="S100" s="117" t="str">
        <x:v>Programmabile</x:v>
      </x:c>
      <x:c r="T100" s="117" t="str">
        <x:v>Da fare</x:v>
      </x:c>
      <x:c r="U100" s="81" t="str">
        <x:v>Controlla audio, ritaglio 9:16 e anteprima copertina. Il link è nel profilo.</x:v>
      </x:c>
      <x:c r="V100" s="81" t="str">
        <x:f>IF(AND(E100&lt;TODAY(),T100&lt;&gt;"Pubblicato"),"SÌ","")</x:f>
      </x:c>
    </x:row>
    <x:row r="101" ht="78" customHeight="1">
      <x:c r="A101" s="117" t="str">
        <x:v>T100</x:v>
      </x:c>
      <x:c r="B101" s="117" t="n">
        <x:v>8</x:v>
      </x:c>
      <x:c r="C101" s="118" t="n">
        <x:f>'CAMPAGNE'!F16</x:f>
        <x:v>46264</x:v>
      </x:c>
      <x:c r="D101" s="119" t="n">
        <x:v>0.75</x:v>
      </x:c>
      <x:c r="E101" s="120" t="n">
        <x:f>'CAMPAGNE'!H16</x:f>
        <x:v>46287</x:v>
      </x:c>
      <x:c r="F101" s="117" t="str">
        <x:f>CHOOSE(WEEKDAY(E101,2),"Lunedì","Martedì","Mercoledì","Giovedì","Venerdì","Sabato","Domenica")</x:f>
        <x:v>Martedì</x:v>
      </x:c>
      <x:c r="G101" s="119" t="n">
        <x:v>0.8333333333333334</x:v>
      </x:c>
      <x:c r="H101" s="117" t="str">
        <x:v>Facebook</x:v>
      </x:c>
      <x:c r="I101" s="117" t="str">
        <x:v>Reel</x:v>
      </x:c>
      <x:c r="J101" s="81" t="str">
        <x:v>Intrecci Sbagliati</x:v>
      </x:c>
      <x:c r="K101" s="117" t="str">
        <x:v>CH03</x:v>
      </x:c>
      <x:c r="L101" s="81" t="str">
        <x:v>Rossella</x:v>
      </x:c>
      <x:c r="M101" s="81" t="str">
        <x:v>Crea un Reel nella Pagina, carica video e copertina, incolla la caption e programma.</x:v>
      </x:c>
      <x:c r="N101" s="81" t="str">
        <x:v>Intrecci_Sbagliati_Social_Pack/01_REELS/CH03_reel.mp4</x:v>
      </x:c>
      <x:c r="O101" s="81" t="str">
        <x:v>Intrecci_Sbagliati_Social_Pack/02_REEL_COVERS/CH03_cover.jpg</x:v>
      </x:c>
      <x:c r="P101" s="81" t="str">
        <x:f>'TESTI'!F16</x:f>
        <x:v>L'orologio del Musée d'Orsay continua a girare mentre Rossella ha già deciso dove fermarsi.
Sessanta giorni, nessuna promessa di eternità e un ultimo addio sotto la pioggia. Alcune storie sono brevi, ma lasciano nella memoria una durata che il calendario non sa misurare.
Rossella è il terzo capitolo di Intrecci Sbagliati: il racconto di ciò che è stato giusto proprio perché non poteva durare.
Scopri il libro completo dal link nel profilo.
🌐 https://diaridipelle.it/intrecci-sbagliati.html
📕 Cartaceo: https://www.amazon.it/dp/B0GX27ZJ1L
📱 Kindle: https://www.amazon.it/dp/B0GX2JR3F6
#DiariDiPelle #IntrecciSbagliati #MuséeDOrsay #Parigi #NarrativaItaliana</x:v>
      </x:c>
      <x:c r="Q101" s="81" t="str">
        <x:f>'TESTI'!J16</x:f>
        <x:v>https://diaridipelle.it/intrecci-sbagliati.html</x:v>
      </x:c>
      <x:c r="R101" s="81" t="str">
        <x:v>Meta Business Suite</x:v>
      </x:c>
      <x:c r="S101" s="117" t="str">
        <x:v>Programmabile</x:v>
      </x:c>
      <x:c r="T101" s="117" t="str">
        <x:v>Da fare</x:v>
      </x:c>
      <x:c r="U101" s="81" t="str">
        <x:v>Pubblica sulla Pagina Facebook. I collegamenti nella caption sono cliccabili.</x:v>
      </x:c>
      <x:c r="V101" s="81" t="str">
        <x:f>IF(AND(E101&lt;TODAY(),T101&lt;&gt;"Pubblicato"),"SÌ","")</x:f>
      </x:c>
    </x:row>
    <x:row r="102" ht="78" customHeight="1">
      <x:c r="A102" s="117" t="str">
        <x:v>T101</x:v>
      </x:c>
      <x:c r="B102" s="117" t="n">
        <x:v>8</x:v>
      </x:c>
      <x:c r="C102" s="118" t="n">
        <x:f>'CAMPAGNE'!G16</x:f>
        <x:v>46285</x:v>
      </x:c>
      <x:c r="D102" s="119" t="n">
        <x:v>0.75</x:v>
      </x:c>
      <x:c r="E102" s="120" t="n">
        <x:f>'CAMPAGNE'!H16</x:f>
        <x:v>46287</x:v>
      </x:c>
      <x:c r="F102" s="117" t="str">
        <x:f>CHOOSE(WEEKDAY(E102,2),"Lunedì","Martedì","Mercoledì","Giovedì","Venerdì","Sabato","Domenica")</x:f>
        <x:v>Martedì</x:v>
      </x:c>
      <x:c r="G102" s="119" t="n">
        <x:v>0.8333333333333334</x:v>
      </x:c>
      <x:c r="H102" s="117" t="str">
        <x:v>TikTok</x:v>
      </x:c>
      <x:c r="I102" s="117" t="str">
        <x:v>Video</x:v>
      </x:c>
      <x:c r="J102" s="81" t="str">
        <x:v>Intrecci Sbagliati</x:v>
      </x:c>
      <x:c r="K102" s="117" t="str">
        <x:v>CH03</x:v>
      </x:c>
      <x:c r="L102" s="81" t="str">
        <x:v>Rossella</x:v>
      </x:c>
      <x:c r="M102" s="81" t="str">
        <x:v>Carica il video in TikTok Studio, scegli la copertina, incolla la caption breve e programma.</x:v>
      </x:c>
      <x:c r="N102" s="81" t="str">
        <x:v>Intrecci_Sbagliati_Social_Pack/01_REELS/CH03_reel.mp4</x:v>
      </x:c>
      <x:c r="O102" s="81" t="str">
        <x:v>Intrecci_Sbagliati_Social_Pack/02_REEL_COVERS/CH03_cover.jpg</x:v>
      </x:c>
      <x:c r="P102" s="81" t="str">
        <x:f>'TESTI'!G16</x:f>
        <x:v>L'orologio del Musée d'Orsay continua a girare mentre Rossella ha già deciso dove fermarsi.
«Rossella» da Intrecci Sbagliati.
Scopri il libro dal link in bio.
#DiariDiPelle #IntrecciSbagliati #BookTokItalia #LibriTikTok</x:v>
      </x:c>
      <x:c r="Q102" s="81" t="str">
        <x:f>'TESTI'!J16</x:f>
        <x:v>https://diaridipelle.it/intrecci-sbagliati.html</x:v>
      </x:c>
      <x:c r="R102" s="81" t="str">
        <x:v>TikTok Studio</x:v>
      </x:c>
      <x:c r="S102" s="117" t="str">
        <x:v>Programmabile entro 10 giorni</x:v>
      </x:c>
      <x:c r="T102" s="117" t="str">
        <x:v>Da fare</x:v>
      </x:c>
      <x:c r="U102" s="81" t="str">
        <x:v>Non aggiungere watermark. Controlla anteprima verticale e audio.</x:v>
      </x:c>
      <x:c r="V102" s="81" t="str">
        <x:f>IF(AND(E102&lt;TODAY(),T102&lt;&gt;"Pubblicato"),"SÌ","")</x:f>
      </x:c>
    </x:row>
    <x:row r="103" ht="78" customHeight="1">
      <x:c r="A103" s="117" t="str">
        <x:v>T102</x:v>
      </x:c>
      <x:c r="B103" s="117" t="n">
        <x:v>8</x:v>
      </x:c>
      <x:c r="C103" s="118" t="n">
        <x:f>'CAMPAGNE'!I16</x:f>
        <x:v>46288</x:v>
      </x:c>
      <x:c r="D103" s="119" t="n">
        <x:v>0.4965277777777778</x:v>
      </x:c>
      <x:c r="E103" s="120" t="n">
        <x:f>'CAMPAGNE'!I16</x:f>
        <x:v>46288</x:v>
      </x:c>
      <x:c r="F103" s="117" t="str">
        <x:f>CHOOSE(WEEKDAY(E103,2),"Lunedì","Martedì","Mercoledì","Giovedì","Venerdì","Sabato","Domenica")</x:f>
        <x:v>Mercoledì</x:v>
      </x:c>
      <x:c r="G103" s="119" t="n">
        <x:v>0.5</x:v>
      </x:c>
      <x:c r="H103" s="117" t="str">
        <x:v>Instagram</x:v>
      </x:c>
      <x:c r="I103" s="117" t="str">
        <x:v>Storia</x:v>
      </x:c>
      <x:c r="J103" s="81" t="str">
        <x:v>Intrecci Sbagliati</x:v>
      </x:c>
      <x:c r="K103" s="117" t="str">
        <x:v>CH03</x:v>
      </x:c>
      <x:c r="L103" s="81" t="str">
        <x:v>Rossella</x:v>
      </x:c>
      <x:c r="M103" s="81" t="str">
        <x:v>Carica l'immagine, aggiungi l'adesivo Link e pubblica.</x:v>
      </x:c>
      <x:c r="N103" s="81" t="str">
        <x:v>Intrecci_Sbagliati_Social_Pack/04_STORIES/CH03_story.jpg</x:v>
      </x:c>
      <x:c r="O103" s="81" t="str">
        <x:v>Intrecci_Sbagliati_Social_Pack/05_CAPTIONS/CH03_story_link.txt</x:v>
      </x:c>
      <x:c r="P103" s="81" t="str">
        <x:f>'TESTI'!N16</x:f>
        <x:v>Tocca SCOPRI IL LIBRO e scegli cartaceo o Kindle.</x:v>
      </x:c>
      <x:c r="Q103" s="81" t="str">
        <x:f>'TESTI'!H16</x:f>
        <x:v>https://diaridipelle.it/intrecci-sbagliati.html?utm_source=instagram&amp;utm_medium=story&amp;utm_campaign=intrecci_sbagliati&amp;utm_content=ch03</x:v>
      </x:c>
      <x:c r="R103" s="81" t="str">
        <x:v>App Instagram</x:v>
      </x:c>
      <x:c r="S103" s="117" t="str">
        <x:v>Manuale</x:v>
      </x:c>
      <x:c r="T103" s="117" t="str">
        <x:v>Da fare</x:v>
      </x:c>
      <x:c r="U103" s="81" t="str">
        <x:v>La data lavoro è lo stesso giorno, 5 minuti prima. Testo adesivo: SCOPRI IL LIBRO.</x:v>
      </x:c>
      <x:c r="V103" s="81" t="str">
        <x:f>IF(AND(E103&lt;TODAY(),T103&lt;&gt;"Pubblicato"),"SÌ","")</x:f>
      </x:c>
    </x:row>
    <x:row r="104" ht="78" customHeight="1">
      <x:c r="A104" s="117" t="str">
        <x:v>T103</x:v>
      </x:c>
      <x:c r="B104" s="117" t="n">
        <x:v>8</x:v>
      </x:c>
      <x:c r="C104" s="118" t="n">
        <x:f>'CAMPAGNE'!F16</x:f>
        <x:v>46264</x:v>
      </x:c>
      <x:c r="D104" s="119" t="n">
        <x:v>0.75</x:v>
      </x:c>
      <x:c r="E104" s="120" t="n">
        <x:f>'CAMPAGNE'!I16</x:f>
        <x:v>46288</x:v>
      </x:c>
      <x:c r="F104" s="117" t="str">
        <x:f>CHOOSE(WEEKDAY(E104,2),"Lunedì","Martedì","Mercoledì","Giovedì","Venerdì","Sabato","Domenica")</x:f>
        <x:v>Mercoledì</x:v>
      </x:c>
      <x:c r="G104" s="119" t="n">
        <x:v>0.5</x:v>
      </x:c>
      <x:c r="H104" s="117" t="str">
        <x:v>Facebook</x:v>
      </x:c>
      <x:c r="I104" s="117" t="str">
        <x:v>Storia</x:v>
      </x:c>
      <x:c r="J104" s="81" t="str">
        <x:v>Intrecci Sbagliati</x:v>
      </x:c>
      <x:c r="K104" s="117" t="str">
        <x:v>CH03</x:v>
      </x:c>
      <x:c r="L104" s="81" t="str">
        <x:v>Rossella</x:v>
      </x:c>
      <x:c r="M104" s="81" t="str">
        <x:v>Crea una Storia della Pagina, carica l'immagine, aggiungi il link e programma.</x:v>
      </x:c>
      <x:c r="N104" s="81" t="str">
        <x:v>Intrecci_Sbagliati_Social_Pack/04_STORIES/CH03_story.jpg</x:v>
      </x:c>
      <x:c r="O104" s="81" t="str">
        <x:v>Intrecci_Sbagliati_Social_Pack/05_CAPTIONS/CH03_story_link.txt</x:v>
      </x:c>
      <x:c r="P104" s="81" t="str">
        <x:f>'TESTI'!N16</x:f>
        <x:v>Tocca SCOPRI IL LIBRO e scegli cartaceo o Kindle.</x:v>
      </x:c>
      <x:c r="Q104" s="81" t="str">
        <x:f>'TESTI'!I16</x:f>
        <x:v>https://diaridipelle.it/intrecci-sbagliati.html?utm_source=facebook&amp;utm_medium=story&amp;utm_campaign=intrecci_sbagliati&amp;utm_content=ch03</x:v>
      </x:c>
      <x:c r="R104" s="81" t="str">
        <x:v>Meta Business Suite</x:v>
      </x:c>
      <x:c r="S104" s="117" t="str">
        <x:v>Programmabile</x:v>
      </x:c>
      <x:c r="T104" s="117" t="str">
        <x:v>Da fare</x:v>
      </x:c>
      <x:c r="U104" s="81" t="str">
        <x:v>Controlla che la destinazione sia la Pagina Facebook.</x:v>
      </x:c>
      <x:c r="V104" s="81" t="str">
        <x:f>IF(AND(E104&lt;TODAY(),T104&lt;&gt;"Pubblicato"),"SÌ","")</x:f>
      </x:c>
    </x:row>
    <x:row r="105" ht="78" customHeight="1">
      <x:c r="A105" s="117" t="str">
        <x:v>T104</x:v>
      </x:c>
      <x:c r="B105" s="117" t="n">
        <x:v>8</x:v>
      </x:c>
      <x:c r="C105" s="118" t="n">
        <x:f>'CAMPAGNE'!F16</x:f>
        <x:v>46264</x:v>
      </x:c>
      <x:c r="D105" s="119" t="n">
        <x:v>0.75</x:v>
      </x:c>
      <x:c r="E105" s="120" t="n">
        <x:f>'CAMPAGNE'!J16</x:f>
        <x:v>46289</x:v>
      </x:c>
      <x:c r="F105" s="117" t="str">
        <x:f>CHOOSE(WEEKDAY(E105,2),"Lunedì","Martedì","Mercoledì","Giovedì","Venerdì","Sabato","Domenica")</x:f>
        <x:v>Giovedì</x:v>
      </x:c>
      <x:c r="G105" s="119" t="n">
        <x:v>0.8333333333333334</x:v>
      </x:c>
      <x:c r="H105" s="117" t="str">
        <x:v>Instagram</x:v>
      </x:c>
      <x:c r="I105" s="117" t="str">
        <x:v>Carosello</x:v>
      </x:c>
      <x:c r="J105" s="81" t="str">
        <x:v>Intrecci Sbagliati</x:v>
      </x:c>
      <x:c r="K105" s="117" t="str">
        <x:v>CH03</x:v>
      </x:c>
      <x:c r="L105" s="81" t="str">
        <x:v>Rossella</x:v>
      </x:c>
      <x:c r="M105" s="81" t="str">
        <x:v>Carica le tre immagini nell'ordine 01, 02, 03; incolla la caption e programma.</x:v>
      </x:c>
      <x:c r="N105" s="81" t="str">
        <x:v>Intrecci_Sbagliati_Social_Pack/03_CAROUSELS/CH03/CH03_01.jpg
Intrecci_Sbagliati_Social_Pack/03_CAROUSELS/CH03/CH03_02.jpg
Intrecci_Sbagliati_Social_Pack/03_CAROUSELS/CH03/CH03_03.jpg</x:v>
      </x:c>
      <x:c r="O105" s="81" t="str">
        <x:v>Ordine obbligatorio: 01 → 02 → 03</x:v>
      </x:c>
      <x:c r="P105" s="81" t="str">
        <x:f>'TESTI'!E16</x:f>
        <x:v>L'orologio del Musée d'Orsay continua a girare mentre Rossella ha già deciso dove fermarsi.
Sessanta giorni, nessuna promessa di eternità e un ultimo addio sotto la pioggia. Alcune storie sono brevi, ma lasciano nella memoria una durata che il calendario non sa misurare.
Rossella è il terzo capitolo di Intrecci Sbagliati: il racconto di ciò che è stato giusto proprio perché non poteva durare.
Scopri il libro completo dal link nel profilo.
#DiariDiPelle #IntrecciSbagliati #MuséeDOrsay #Parigi #NarrativaItaliana</x:v>
      </x:c>
      <x:c r="Q105" s="81" t="str">
        <x:f>'TESTI'!J16</x:f>
        <x:v>https://diaridipelle.it/intrecci-sbagliati.html</x:v>
      </x:c>
      <x:c r="R105" s="81" t="str">
        <x:v>App Instagram</x:v>
      </x:c>
      <x:c r="S105" s="117" t="str">
        <x:v>Programmabile</x:v>
      </x:c>
      <x:c r="T105" s="117" t="str">
        <x:v>Da fare</x:v>
      </x:c>
      <x:c r="U105" s="81" t="str">
        <x:v>Verifica che nessuna slide sia tagliata. Il link è nel profilo.</x:v>
      </x:c>
      <x:c r="V105" s="81" t="str">
        <x:f>IF(AND(E105&lt;TODAY(),T105&lt;&gt;"Pubblicato"),"SÌ","")</x:f>
      </x:c>
    </x:row>
    <x:row r="106" ht="78" customHeight="1">
      <x:c r="A106" s="117" t="str">
        <x:v>T105</x:v>
      </x:c>
      <x:c r="B106" s="117" t="n">
        <x:v>8</x:v>
      </x:c>
      <x:c r="C106" s="118" t="n">
        <x:f>'CAMPAGNE'!F16</x:f>
        <x:v>46264</x:v>
      </x:c>
      <x:c r="D106" s="119" t="n">
        <x:v>0.75</x:v>
      </x:c>
      <x:c r="E106" s="120" t="n">
        <x:f>'CAMPAGNE'!J16</x:f>
        <x:v>46289</x:v>
      </x:c>
      <x:c r="F106" s="117" t="str">
        <x:f>CHOOSE(WEEKDAY(E106,2),"Lunedì","Martedì","Mercoledì","Giovedì","Venerdì","Sabato","Domenica")</x:f>
        <x:v>Giovedì</x:v>
      </x:c>
      <x:c r="G106" s="119" t="n">
        <x:v>0.8333333333333334</x:v>
      </x:c>
      <x:c r="H106" s="117" t="str">
        <x:v>Facebook</x:v>
      </x:c>
      <x:c r="I106" s="117" t="str">
        <x:v>Carosello</x:v>
      </x:c>
      <x:c r="J106" s="81" t="str">
        <x:v>Intrecci Sbagliati</x:v>
      </x:c>
      <x:c r="K106" s="117" t="str">
        <x:v>CH03</x:v>
      </x:c>
      <x:c r="L106" s="81" t="str">
        <x:v>Rossella</x:v>
      </x:c>
      <x:c r="M106" s="81" t="str">
        <x:v>Carica le tre immagini nell'ordine 01, 02, 03; incolla la caption e programma.</x:v>
      </x:c>
      <x:c r="N106" s="81" t="str">
        <x:v>Intrecci_Sbagliati_Social_Pack/03_CAROUSELS/CH03/CH03_01.jpg
Intrecci_Sbagliati_Social_Pack/03_CAROUSELS/CH03/CH03_02.jpg
Intrecci_Sbagliati_Social_Pack/03_CAROUSELS/CH03/CH03_03.jpg</x:v>
      </x:c>
      <x:c r="O106" s="81" t="str">
        <x:v>Ordine obbligatorio: 01 → 02 → 03</x:v>
      </x:c>
      <x:c r="P106" s="81" t="str">
        <x:f>'TESTI'!F16</x:f>
        <x:v>L'orologio del Musée d'Orsay continua a girare mentre Rossella ha già deciso dove fermarsi.
Sessanta giorni, nessuna promessa di eternità e un ultimo addio sotto la pioggia. Alcune storie sono brevi, ma lasciano nella memoria una durata che il calendario non sa misurare.
Rossella è il terzo capitolo di Intrecci Sbagliati: il racconto di ciò che è stato giusto proprio perché non poteva durare.
Scopri il libro completo dal link nel profilo.
🌐 https://diaridipelle.it/intrecci-sbagliati.html
📕 Cartaceo: https://www.amazon.it/dp/B0GX27ZJ1L
📱 Kindle: https://www.amazon.it/dp/B0GX2JR3F6
#DiariDiPelle #IntrecciSbagliati #MuséeDOrsay #Parigi #NarrativaItaliana</x:v>
      </x:c>
      <x:c r="Q106" s="81" t="str">
        <x:f>'TESTI'!J16</x:f>
        <x:v>https://diaridipelle.it/intrecci-sbagliati.html</x:v>
      </x:c>
      <x:c r="R106" s="81" t="str">
        <x:v>Meta Business Suite</x:v>
      </x:c>
      <x:c r="S106" s="117" t="str">
        <x:v>Programmabile</x:v>
      </x:c>
      <x:c r="T106" s="117" t="str">
        <x:v>Da fare</x:v>
      </x:c>
      <x:c r="U106" s="81" t="str">
        <x:v>Controlla ordine delle immagini e collegamenti nella caption.</x:v>
      </x:c>
      <x:c r="V106" s="81" t="str">
        <x:f>IF(AND(E106&lt;TODAY(),T106&lt;&gt;"Pubblicato"),"SÌ","")</x:f>
      </x:c>
    </x:row>
    <x:row r="107" ht="78" customHeight="1">
      <x:c r="A107" s="117" t="str">
        <x:v>T106</x:v>
      </x:c>
      <x:c r="B107" s="117" t="n">
        <x:v>8</x:v>
      </x:c>
      <x:c r="C107" s="118" t="n">
        <x:f>'CAMPAGNE'!F17</x:f>
        <x:v>46264</x:v>
      </x:c>
      <x:c r="D107" s="119" t="n">
        <x:v>0.75</x:v>
      </x:c>
      <x:c r="E107" s="120" t="n">
        <x:f>'CAMPAGNE'!H17</x:f>
        <x:v>46290</x:v>
      </x:c>
      <x:c r="F107" s="117" t="str">
        <x:f>CHOOSE(WEEKDAY(E107,2),"Lunedì","Martedì","Mercoledì","Giovedì","Venerdì","Sabato","Domenica")</x:f>
        <x:v>Venerdì</x:v>
      </x:c>
      <x:c r="G107" s="119" t="n">
        <x:v>0.8333333333333334</x:v>
      </x:c>
      <x:c r="H107" s="117" t="str">
        <x:v>Instagram</x:v>
      </x:c>
      <x:c r="I107" s="117" t="str">
        <x:v>Reel</x:v>
      </x:c>
      <x:c r="J107" s="81" t="str">
        <x:v>Intrecci Sbagliati</x:v>
      </x:c>
      <x:c r="K107" s="117" t="str">
        <x:v>CH04</x:v>
      </x:c>
      <x:c r="L107" s="81" t="str">
        <x:v>Cansu</x:v>
      </x:c>
      <x:c r="M107" s="81" t="str">
        <x:v>Carica il video, imposta la copertina, incolla la caption e programma.</x:v>
      </x:c>
      <x:c r="N107" s="81" t="str">
        <x:v>Intrecci_Sbagliati_Social_Pack/01_REELS/CH04_reel.mp4</x:v>
      </x:c>
      <x:c r="O107" s="81" t="str">
        <x:v>Intrecci_Sbagliati_Social_Pack/02_REEL_COVERS/CH04_cover.jpg</x:v>
      </x:c>
      <x:c r="P107" s="81" t="str">
        <x:f>'TESTI'!E17</x:f>
        <x:v>Cansu non chiedeva attenzione. La selezionava.
Tra biblioteche, silenzi e un addio preciso come una firma, insegna che si può essere duri senza essere crudeli e vivere il desiderio senza perdere il controllo di sé.
Non tutte le storie finiscono bene o male. Alcune finiscono nel modo più coerente con chi le ha vissute.
Cansu è il quarto capitolo di Intrecci Sbagliati. Continua dal link nel profilo.
#DiariDiPelle #IntrecciSbagliati #Cansu #Parigi #NarrativaPsicologica</x:v>
      </x:c>
      <x:c r="Q107" s="81" t="str">
        <x:f>'TESTI'!J17</x:f>
        <x:v>https://diaridipelle.it/intrecci-sbagliati.html</x:v>
      </x:c>
      <x:c r="R107" s="81" t="str">
        <x:v>App Instagram</x:v>
      </x:c>
      <x:c r="S107" s="117" t="str">
        <x:v>Programmabile</x:v>
      </x:c>
      <x:c r="T107" s="117" t="str">
        <x:v>Da fare</x:v>
      </x:c>
      <x:c r="U107" s="81" t="str">
        <x:v>Controlla audio, ritaglio 9:16 e anteprima copertina. Il link è nel profilo.</x:v>
      </x:c>
      <x:c r="V107" s="81" t="str">
        <x:f>IF(AND(E107&lt;TODAY(),T107&lt;&gt;"Pubblicato"),"SÌ","")</x:f>
      </x:c>
    </x:row>
    <x:row r="108" ht="78" customHeight="1">
      <x:c r="A108" s="117" t="str">
        <x:v>T107</x:v>
      </x:c>
      <x:c r="B108" s="117" t="n">
        <x:v>8</x:v>
      </x:c>
      <x:c r="C108" s="118" t="n">
        <x:f>'CAMPAGNE'!F17</x:f>
        <x:v>46264</x:v>
      </x:c>
      <x:c r="D108" s="119" t="n">
        <x:v>0.75</x:v>
      </x:c>
      <x:c r="E108" s="120" t="n">
        <x:f>'CAMPAGNE'!H17</x:f>
        <x:v>46290</x:v>
      </x:c>
      <x:c r="F108" s="117" t="str">
        <x:f>CHOOSE(WEEKDAY(E108,2),"Lunedì","Martedì","Mercoledì","Giovedì","Venerdì","Sabato","Domenica")</x:f>
        <x:v>Venerdì</x:v>
      </x:c>
      <x:c r="G108" s="119" t="n">
        <x:v>0.8333333333333334</x:v>
      </x:c>
      <x:c r="H108" s="117" t="str">
        <x:v>Facebook</x:v>
      </x:c>
      <x:c r="I108" s="117" t="str">
        <x:v>Reel</x:v>
      </x:c>
      <x:c r="J108" s="81" t="str">
        <x:v>Intrecci Sbagliati</x:v>
      </x:c>
      <x:c r="K108" s="117" t="str">
        <x:v>CH04</x:v>
      </x:c>
      <x:c r="L108" s="81" t="str">
        <x:v>Cansu</x:v>
      </x:c>
      <x:c r="M108" s="81" t="str">
        <x:v>Crea un Reel nella Pagina, carica video e copertina, incolla la caption e programma.</x:v>
      </x:c>
      <x:c r="N108" s="81" t="str">
        <x:v>Intrecci_Sbagliati_Social_Pack/01_REELS/CH04_reel.mp4</x:v>
      </x:c>
      <x:c r="O108" s="81" t="str">
        <x:v>Intrecci_Sbagliati_Social_Pack/02_REEL_COVERS/CH04_cover.jpg</x:v>
      </x:c>
      <x:c r="P108" s="81" t="str">
        <x:f>'TESTI'!F17</x:f>
        <x:v>Cansu non chiedeva attenzione. La selezionava.
Tra biblioteche, silenzi e un addio preciso come una firma, insegna che si può essere duri senza essere crudeli e vivere il desiderio senza perdere il controllo di sé.
Non tutte le storie finiscono bene o male. Alcune finiscono nel modo più coerente con chi le ha vissute.
Cansu è il quarto capitolo di Intrecci Sbagliati. Continua dal link nel profilo.
🌐 https://diaridipelle.it/intrecci-sbagliati.html
📕 Cartaceo: https://www.amazon.it/dp/B0GX27ZJ1L
📱 Kindle: https://www.amazon.it/dp/B0GX2JR3F6
#DiariDiPelle #IntrecciSbagliati #Cansu #Parigi #NarrativaPsicologica</x:v>
      </x:c>
      <x:c r="Q108" s="81" t="str">
        <x:f>'TESTI'!J17</x:f>
        <x:v>https://diaridipelle.it/intrecci-sbagliati.html</x:v>
      </x:c>
      <x:c r="R108" s="81" t="str">
        <x:v>Meta Business Suite</x:v>
      </x:c>
      <x:c r="S108" s="117" t="str">
        <x:v>Programmabile</x:v>
      </x:c>
      <x:c r="T108" s="117" t="str">
        <x:v>Da fare</x:v>
      </x:c>
      <x:c r="U108" s="81" t="str">
        <x:v>Pubblica sulla Pagina Facebook. I collegamenti nella caption sono cliccabili.</x:v>
      </x:c>
      <x:c r="V108" s="81" t="str">
        <x:f>IF(AND(E108&lt;TODAY(),T108&lt;&gt;"Pubblicato"),"SÌ","")</x:f>
      </x:c>
    </x:row>
    <x:row r="109" ht="78" customHeight="1">
      <x:c r="A109" s="117" t="str">
        <x:v>T108</x:v>
      </x:c>
      <x:c r="B109" s="117" t="n">
        <x:v>8</x:v>
      </x:c>
      <x:c r="C109" s="118" t="n">
        <x:f>'CAMPAGNE'!G17</x:f>
        <x:v>46285</x:v>
      </x:c>
      <x:c r="D109" s="119" t="n">
        <x:v>0.75</x:v>
      </x:c>
      <x:c r="E109" s="120" t="n">
        <x:f>'CAMPAGNE'!H17</x:f>
        <x:v>46290</x:v>
      </x:c>
      <x:c r="F109" s="117" t="str">
        <x:f>CHOOSE(WEEKDAY(E109,2),"Lunedì","Martedì","Mercoledì","Giovedì","Venerdì","Sabato","Domenica")</x:f>
        <x:v>Venerdì</x:v>
      </x:c>
      <x:c r="G109" s="119" t="n">
        <x:v>0.8333333333333334</x:v>
      </x:c>
      <x:c r="H109" s="117" t="str">
        <x:v>TikTok</x:v>
      </x:c>
      <x:c r="I109" s="117" t="str">
        <x:v>Video</x:v>
      </x:c>
      <x:c r="J109" s="81" t="str">
        <x:v>Intrecci Sbagliati</x:v>
      </x:c>
      <x:c r="K109" s="117" t="str">
        <x:v>CH04</x:v>
      </x:c>
      <x:c r="L109" s="81" t="str">
        <x:v>Cansu</x:v>
      </x:c>
      <x:c r="M109" s="81" t="str">
        <x:v>Carica il video in TikTok Studio, scegli la copertina, incolla la caption breve e programma.</x:v>
      </x:c>
      <x:c r="N109" s="81" t="str">
        <x:v>Intrecci_Sbagliati_Social_Pack/01_REELS/CH04_reel.mp4</x:v>
      </x:c>
      <x:c r="O109" s="81" t="str">
        <x:v>Intrecci_Sbagliati_Social_Pack/02_REEL_COVERS/CH04_cover.jpg</x:v>
      </x:c>
      <x:c r="P109" s="81" t="str">
        <x:f>'TESTI'!G17</x:f>
        <x:v>Cansu non chiedeva attenzione. La selezionava.
«Cansu» da Intrecci Sbagliati.
Scopri il libro dal link in bio.
#DiariDiPelle #IntrecciSbagliati #BookTokItalia #LibriTikTok</x:v>
      </x:c>
      <x:c r="Q109" s="81" t="str">
        <x:f>'TESTI'!J17</x:f>
        <x:v>https://diaridipelle.it/intrecci-sbagliati.html</x:v>
      </x:c>
      <x:c r="R109" s="81" t="str">
        <x:v>TikTok Studio</x:v>
      </x:c>
      <x:c r="S109" s="117" t="str">
        <x:v>Programmabile entro 10 giorni</x:v>
      </x:c>
      <x:c r="T109" s="117" t="str">
        <x:v>Da fare</x:v>
      </x:c>
      <x:c r="U109" s="81" t="str">
        <x:v>Non aggiungere watermark. Controlla anteprima verticale e audio.</x:v>
      </x:c>
      <x:c r="V109" s="81" t="str">
        <x:f>IF(AND(E109&lt;TODAY(),T109&lt;&gt;"Pubblicato"),"SÌ","")</x:f>
      </x:c>
    </x:row>
    <x:row r="110" ht="78" customHeight="1">
      <x:c r="A110" s="117" t="str">
        <x:v>T109</x:v>
      </x:c>
      <x:c r="B110" s="117" t="n">
        <x:v>8</x:v>
      </x:c>
      <x:c r="C110" s="118" t="n">
        <x:f>'CAMPAGNE'!I17</x:f>
        <x:v>46291</x:v>
      </x:c>
      <x:c r="D110" s="119" t="n">
        <x:v>0.4965277777777778</x:v>
      </x:c>
      <x:c r="E110" s="120" t="n">
        <x:f>'CAMPAGNE'!I17</x:f>
        <x:v>46291</x:v>
      </x:c>
      <x:c r="F110" s="117" t="str">
        <x:f>CHOOSE(WEEKDAY(E110,2),"Lunedì","Martedì","Mercoledì","Giovedì","Venerdì","Sabato","Domenica")</x:f>
        <x:v>Sabato</x:v>
      </x:c>
      <x:c r="G110" s="119" t="n">
        <x:v>0.5</x:v>
      </x:c>
      <x:c r="H110" s="117" t="str">
        <x:v>Instagram</x:v>
      </x:c>
      <x:c r="I110" s="117" t="str">
        <x:v>Storia</x:v>
      </x:c>
      <x:c r="J110" s="81" t="str">
        <x:v>Intrecci Sbagliati</x:v>
      </x:c>
      <x:c r="K110" s="117" t="str">
        <x:v>CH04</x:v>
      </x:c>
      <x:c r="L110" s="81" t="str">
        <x:v>Cansu</x:v>
      </x:c>
      <x:c r="M110" s="81" t="str">
        <x:v>Carica l'immagine, aggiungi l'adesivo Link e pubblica.</x:v>
      </x:c>
      <x:c r="N110" s="81" t="str">
        <x:v>Intrecci_Sbagliati_Social_Pack/04_STORIES/CH04_story.jpg</x:v>
      </x:c>
      <x:c r="O110" s="81" t="str">
        <x:v>Intrecci_Sbagliati_Social_Pack/05_CAPTIONS/CH04_story_link.txt</x:v>
      </x:c>
      <x:c r="P110" s="81" t="str">
        <x:f>'TESTI'!N17</x:f>
        <x:v>Tocca SCOPRI IL LIBRO e scegli cartaceo o Kindle.</x:v>
      </x:c>
      <x:c r="Q110" s="81" t="str">
        <x:f>'TESTI'!H17</x:f>
        <x:v>https://diaridipelle.it/intrecci-sbagliati.html?utm_source=instagram&amp;utm_medium=story&amp;utm_campaign=intrecci_sbagliati&amp;utm_content=ch04</x:v>
      </x:c>
      <x:c r="R110" s="81" t="str">
        <x:v>App Instagram</x:v>
      </x:c>
      <x:c r="S110" s="117" t="str">
        <x:v>Manuale</x:v>
      </x:c>
      <x:c r="T110" s="117" t="str">
        <x:v>Da fare</x:v>
      </x:c>
      <x:c r="U110" s="81" t="str">
        <x:v>La data lavoro è lo stesso giorno, 5 minuti prima. Testo adesivo: SCOPRI IL LIBRO.</x:v>
      </x:c>
      <x:c r="V110" s="81" t="str">
        <x:f>IF(AND(E110&lt;TODAY(),T110&lt;&gt;"Pubblicato"),"SÌ","")</x:f>
      </x:c>
    </x:row>
    <x:row r="111" ht="78" customHeight="1">
      <x:c r="A111" s="117" t="str">
        <x:v>T110</x:v>
      </x:c>
      <x:c r="B111" s="117" t="n">
        <x:v>8</x:v>
      </x:c>
      <x:c r="C111" s="118" t="n">
        <x:f>'CAMPAGNE'!F17</x:f>
        <x:v>46264</x:v>
      </x:c>
      <x:c r="D111" s="119" t="n">
        <x:v>0.75</x:v>
      </x:c>
      <x:c r="E111" s="120" t="n">
        <x:f>'CAMPAGNE'!I17</x:f>
        <x:v>46291</x:v>
      </x:c>
      <x:c r="F111" s="117" t="str">
        <x:f>CHOOSE(WEEKDAY(E111,2),"Lunedì","Martedì","Mercoledì","Giovedì","Venerdì","Sabato","Domenica")</x:f>
        <x:v>Sabato</x:v>
      </x:c>
      <x:c r="G111" s="119" t="n">
        <x:v>0.5</x:v>
      </x:c>
      <x:c r="H111" s="117" t="str">
        <x:v>Facebook</x:v>
      </x:c>
      <x:c r="I111" s="117" t="str">
        <x:v>Storia</x:v>
      </x:c>
      <x:c r="J111" s="81" t="str">
        <x:v>Intrecci Sbagliati</x:v>
      </x:c>
      <x:c r="K111" s="117" t="str">
        <x:v>CH04</x:v>
      </x:c>
      <x:c r="L111" s="81" t="str">
        <x:v>Cansu</x:v>
      </x:c>
      <x:c r="M111" s="81" t="str">
        <x:v>Crea una Storia della Pagina, carica l'immagine, aggiungi il link e programma.</x:v>
      </x:c>
      <x:c r="N111" s="81" t="str">
        <x:v>Intrecci_Sbagliati_Social_Pack/04_STORIES/CH04_story.jpg</x:v>
      </x:c>
      <x:c r="O111" s="81" t="str">
        <x:v>Intrecci_Sbagliati_Social_Pack/05_CAPTIONS/CH04_story_link.txt</x:v>
      </x:c>
      <x:c r="P111" s="81" t="str">
        <x:f>'TESTI'!N17</x:f>
        <x:v>Tocca SCOPRI IL LIBRO e scegli cartaceo o Kindle.</x:v>
      </x:c>
      <x:c r="Q111" s="81" t="str">
        <x:f>'TESTI'!I17</x:f>
        <x:v>https://diaridipelle.it/intrecci-sbagliati.html?utm_source=facebook&amp;utm_medium=story&amp;utm_campaign=intrecci_sbagliati&amp;utm_content=ch04</x:v>
      </x:c>
      <x:c r="R111" s="81" t="str">
        <x:v>Meta Business Suite</x:v>
      </x:c>
      <x:c r="S111" s="117" t="str">
        <x:v>Programmabile</x:v>
      </x:c>
      <x:c r="T111" s="117" t="str">
        <x:v>Da fare</x:v>
      </x:c>
      <x:c r="U111" s="81" t="str">
        <x:v>Controlla che la destinazione sia la Pagina Facebook.</x:v>
      </x:c>
      <x:c r="V111" s="81" t="str">
        <x:f>IF(AND(E111&lt;TODAY(),T111&lt;&gt;"Pubblicato"),"SÌ","")</x:f>
      </x:c>
    </x:row>
    <x:row r="112" ht="78" customHeight="1">
      <x:c r="A112" s="117" t="str">
        <x:v>T111</x:v>
      </x:c>
      <x:c r="B112" s="117" t="n">
        <x:v>8</x:v>
      </x:c>
      <x:c r="C112" s="118" t="n">
        <x:f>'CAMPAGNE'!F17</x:f>
        <x:v>46264</x:v>
      </x:c>
      <x:c r="D112" s="119" t="n">
        <x:v>0.75</x:v>
      </x:c>
      <x:c r="E112" s="120" t="n">
        <x:f>'CAMPAGNE'!J17</x:f>
        <x:v>46292</x:v>
      </x:c>
      <x:c r="F112" s="117" t="str">
        <x:f>CHOOSE(WEEKDAY(E112,2),"Lunedì","Martedì","Mercoledì","Giovedì","Venerdì","Sabato","Domenica")</x:f>
        <x:v>Domenica</x:v>
      </x:c>
      <x:c r="G112" s="119" t="n">
        <x:v>0.4583333333333333</x:v>
      </x:c>
      <x:c r="H112" s="117" t="str">
        <x:v>Instagram</x:v>
      </x:c>
      <x:c r="I112" s="117" t="str">
        <x:v>Carosello</x:v>
      </x:c>
      <x:c r="J112" s="81" t="str">
        <x:v>Intrecci Sbagliati</x:v>
      </x:c>
      <x:c r="K112" s="117" t="str">
        <x:v>CH04</x:v>
      </x:c>
      <x:c r="L112" s="81" t="str">
        <x:v>Cansu</x:v>
      </x:c>
      <x:c r="M112" s="81" t="str">
        <x:v>Carica le tre immagini nell'ordine 01, 02, 03; incolla la caption e programma.</x:v>
      </x:c>
      <x:c r="N112" s="81" t="str">
        <x:v>Intrecci_Sbagliati_Social_Pack/03_CAROUSELS/CH04/CH04_01.jpg
Intrecci_Sbagliati_Social_Pack/03_CAROUSELS/CH04/CH04_02.jpg
Intrecci_Sbagliati_Social_Pack/03_CAROUSELS/CH04/CH04_03.jpg</x:v>
      </x:c>
      <x:c r="O112" s="81" t="str">
        <x:v>Ordine obbligatorio: 01 → 02 → 03</x:v>
      </x:c>
      <x:c r="P112" s="81" t="str">
        <x:f>'TESTI'!E17</x:f>
        <x:v>Cansu non chiedeva attenzione. La selezionava.
Tra biblioteche, silenzi e un addio preciso come una firma, insegna che si può essere duri senza essere crudeli e vivere il desiderio senza perdere il controllo di sé.
Non tutte le storie finiscono bene o male. Alcune finiscono nel modo più coerente con chi le ha vissute.
Cansu è il quarto capitolo di Intrecci Sbagliati. Continua dal link nel profilo.
#DiariDiPelle #IntrecciSbagliati #Cansu #Parigi #NarrativaPsicologica</x:v>
      </x:c>
      <x:c r="Q112" s="81" t="str">
        <x:f>'TESTI'!J17</x:f>
        <x:v>https://diaridipelle.it/intrecci-sbagliati.html</x:v>
      </x:c>
      <x:c r="R112" s="81" t="str">
        <x:v>App Instagram</x:v>
      </x:c>
      <x:c r="S112" s="117" t="str">
        <x:v>Programmabile</x:v>
      </x:c>
      <x:c r="T112" s="117" t="str">
        <x:v>Da fare</x:v>
      </x:c>
      <x:c r="U112" s="81" t="str">
        <x:v>Verifica che nessuna slide sia tagliata. Il link è nel profilo.</x:v>
      </x:c>
      <x:c r="V112" s="81" t="str">
        <x:f>IF(AND(E112&lt;TODAY(),T112&lt;&gt;"Pubblicato"),"SÌ","")</x:f>
      </x:c>
    </x:row>
    <x:row r="113" ht="78" customHeight="1">
      <x:c r="A113" s="117" t="str">
        <x:v>T112</x:v>
      </x:c>
      <x:c r="B113" s="117" t="n">
        <x:v>8</x:v>
      </x:c>
      <x:c r="C113" s="118" t="n">
        <x:f>'CAMPAGNE'!F17</x:f>
        <x:v>46264</x:v>
      </x:c>
      <x:c r="D113" s="119" t="n">
        <x:v>0.75</x:v>
      </x:c>
      <x:c r="E113" s="120" t="n">
        <x:f>'CAMPAGNE'!J17</x:f>
        <x:v>46292</x:v>
      </x:c>
      <x:c r="F113" s="117" t="str">
        <x:f>CHOOSE(WEEKDAY(E113,2),"Lunedì","Martedì","Mercoledì","Giovedì","Venerdì","Sabato","Domenica")</x:f>
        <x:v>Domenica</x:v>
      </x:c>
      <x:c r="G113" s="119" t="n">
        <x:v>0.4583333333333333</x:v>
      </x:c>
      <x:c r="H113" s="117" t="str">
        <x:v>Facebook</x:v>
      </x:c>
      <x:c r="I113" s="117" t="str">
        <x:v>Carosello</x:v>
      </x:c>
      <x:c r="J113" s="81" t="str">
        <x:v>Intrecci Sbagliati</x:v>
      </x:c>
      <x:c r="K113" s="117" t="str">
        <x:v>CH04</x:v>
      </x:c>
      <x:c r="L113" s="81" t="str">
        <x:v>Cansu</x:v>
      </x:c>
      <x:c r="M113" s="81" t="str">
        <x:v>Carica le tre immagini nell'ordine 01, 02, 03; incolla la caption e programma.</x:v>
      </x:c>
      <x:c r="N113" s="81" t="str">
        <x:v>Intrecci_Sbagliati_Social_Pack/03_CAROUSELS/CH04/CH04_01.jpg
Intrecci_Sbagliati_Social_Pack/03_CAROUSELS/CH04/CH04_02.jpg
Intrecci_Sbagliati_Social_Pack/03_CAROUSELS/CH04/CH04_03.jpg</x:v>
      </x:c>
      <x:c r="O113" s="81" t="str">
        <x:v>Ordine obbligatorio: 01 → 02 → 03</x:v>
      </x:c>
      <x:c r="P113" s="81" t="str">
        <x:f>'TESTI'!F17</x:f>
        <x:v>Cansu non chiedeva attenzione. La selezionava.
Tra biblioteche, silenzi e un addio preciso come una firma, insegna che si può essere duri senza essere crudeli e vivere il desiderio senza perdere il controllo di sé.
Non tutte le storie finiscono bene o male. Alcune finiscono nel modo più coerente con chi le ha vissute.
Cansu è il quarto capitolo di Intrecci Sbagliati. Continua dal link nel profilo.
🌐 https://diaridipelle.it/intrecci-sbagliati.html
📕 Cartaceo: https://www.amazon.it/dp/B0GX27ZJ1L
📱 Kindle: https://www.amazon.it/dp/B0GX2JR3F6
#DiariDiPelle #IntrecciSbagliati #Cansu #Parigi #NarrativaPsicologica</x:v>
      </x:c>
      <x:c r="Q113" s="81" t="str">
        <x:f>'TESTI'!J17</x:f>
        <x:v>https://diaridipelle.it/intrecci-sbagliati.html</x:v>
      </x:c>
      <x:c r="R113" s="81" t="str">
        <x:v>Meta Business Suite</x:v>
      </x:c>
      <x:c r="S113" s="117" t="str">
        <x:v>Programmabile</x:v>
      </x:c>
      <x:c r="T113" s="117" t="str">
        <x:v>Da fare</x:v>
      </x:c>
      <x:c r="U113" s="81" t="str">
        <x:v>Controlla ordine delle immagini e collegamenti nella caption.</x:v>
      </x:c>
      <x:c r="V113" s="81" t="str">
        <x:f>IF(AND(E113&lt;TODAY(),T113&lt;&gt;"Pubblicato"),"SÌ","")</x:f>
      </x:c>
    </x:row>
    <x:row r="114" ht="78" customHeight="1">
      <x:c r="A114" s="117" t="str">
        <x:v>T113</x:v>
      </x:c>
      <x:c r="B114" s="117" t="n">
        <x:v>9</x:v>
      </x:c>
      <x:c r="C114" s="118" t="n">
        <x:f>'CAMPAGNE'!F18</x:f>
        <x:v>46292</x:v>
      </x:c>
      <x:c r="D114" s="119" t="n">
        <x:v>0.75</x:v>
      </x:c>
      <x:c r="E114" s="120" t="n">
        <x:f>'CAMPAGNE'!H18</x:f>
        <x:v>46294</x:v>
      </x:c>
      <x:c r="F114" s="117" t="str">
        <x:f>CHOOSE(WEEKDAY(E114,2),"Lunedì","Martedì","Mercoledì","Giovedì","Venerdì","Sabato","Domenica")</x:f>
        <x:v>Martedì</x:v>
      </x:c>
      <x:c r="G114" s="119" t="n">
        <x:v>0.8333333333333334</x:v>
      </x:c>
      <x:c r="H114" s="117" t="str">
        <x:v>Instagram</x:v>
      </x:c>
      <x:c r="I114" s="117" t="str">
        <x:v>Reel</x:v>
      </x:c>
      <x:c r="J114" s="81" t="str">
        <x:v>Intrecci Sbagliati</x:v>
      </x:c>
      <x:c r="K114" s="117" t="str">
        <x:v>CH05</x:v>
      </x:c>
      <x:c r="L114" s="81" t="str">
        <x:v>Ella</x:v>
      </x:c>
      <x:c r="M114" s="81" t="str">
        <x:v>Carica il video, imposta la copertina, incolla la caption e programma.</x:v>
      </x:c>
      <x:c r="N114" s="81" t="str">
        <x:v>Intrecci_Sbagliati_Social_Pack/01_REELS/CH05_reel.mp4</x:v>
      </x:c>
      <x:c r="O114" s="81" t="str">
        <x:v>Intrecci_Sbagliati_Social_Pack/02_REEL_COVERS/CH05_cover.jpg</x:v>
      </x:c>
      <x:c r="P114" s="81" t="str">
        <x:f>'TESTI'!E18</x:f>
        <x:v>Parigi aveva insegnato la libertà delle notti fugaci. Poi arrivò Ella e rese insufficiente tutto il resto.
Con lei il desiderio attraversa un confine nuovo: fiducia, controllo, intimità e la sensazione che un corpo preciso possa diventare abitudine.
Quando il treno sta per partire, basta un messaggio per aprire un'altra possibilità.
Ella è il quinto capitolo di Intrecci Sbagliati. Scopri il libro dal link nel profilo.
#DiariDiPelle #IntrecciSbagliati #Ella #Desiderio #LibriDaLeggere</x:v>
      </x:c>
      <x:c r="Q114" s="81" t="str">
        <x:f>'TESTI'!J18</x:f>
        <x:v>https://diaridipelle.it/intrecci-sbagliati.html</x:v>
      </x:c>
      <x:c r="R114" s="81" t="str">
        <x:v>App Instagram</x:v>
      </x:c>
      <x:c r="S114" s="117" t="str">
        <x:v>Programmabile</x:v>
      </x:c>
      <x:c r="T114" s="117" t="str">
        <x:v>Da fare</x:v>
      </x:c>
      <x:c r="U114" s="81" t="str">
        <x:v>Controlla audio, ritaglio 9:16 e anteprima copertina. Il link è nel profilo.</x:v>
      </x:c>
      <x:c r="V114" s="81" t="str">
        <x:f>IF(AND(E114&lt;TODAY(),T114&lt;&gt;"Pubblicato"),"SÌ","")</x:f>
      </x:c>
    </x:row>
    <x:row r="115" ht="78" customHeight="1">
      <x:c r="A115" s="117" t="str">
        <x:v>T114</x:v>
      </x:c>
      <x:c r="B115" s="117" t="n">
        <x:v>9</x:v>
      </x:c>
      <x:c r="C115" s="118" t="n">
        <x:f>'CAMPAGNE'!F18</x:f>
        <x:v>46292</x:v>
      </x:c>
      <x:c r="D115" s="119" t="n">
        <x:v>0.75</x:v>
      </x:c>
      <x:c r="E115" s="120" t="n">
        <x:f>'CAMPAGNE'!H18</x:f>
        <x:v>46294</x:v>
      </x:c>
      <x:c r="F115" s="117" t="str">
        <x:f>CHOOSE(WEEKDAY(E115,2),"Lunedì","Martedì","Mercoledì","Giovedì","Venerdì","Sabato","Domenica")</x:f>
        <x:v>Martedì</x:v>
      </x:c>
      <x:c r="G115" s="119" t="n">
        <x:v>0.8333333333333334</x:v>
      </x:c>
      <x:c r="H115" s="117" t="str">
        <x:v>Facebook</x:v>
      </x:c>
      <x:c r="I115" s="117" t="str">
        <x:v>Reel</x:v>
      </x:c>
      <x:c r="J115" s="81" t="str">
        <x:v>Intrecci Sbagliati</x:v>
      </x:c>
      <x:c r="K115" s="117" t="str">
        <x:v>CH05</x:v>
      </x:c>
      <x:c r="L115" s="81" t="str">
        <x:v>Ella</x:v>
      </x:c>
      <x:c r="M115" s="81" t="str">
        <x:v>Crea un Reel nella Pagina, carica video e copertina, incolla la caption e programma.</x:v>
      </x:c>
      <x:c r="N115" s="81" t="str">
        <x:v>Intrecci_Sbagliati_Social_Pack/01_REELS/CH05_reel.mp4</x:v>
      </x:c>
      <x:c r="O115" s="81" t="str">
        <x:v>Intrecci_Sbagliati_Social_Pack/02_REEL_COVERS/CH05_cover.jpg</x:v>
      </x:c>
      <x:c r="P115" s="81" t="str">
        <x:f>'TESTI'!F18</x:f>
        <x:v>Parigi aveva insegnato la libertà delle notti fugaci. Poi arrivò Ella e rese insufficiente tutto il resto.
Con lei il desiderio attraversa un confine nuovo: fiducia, controllo, intimità e la sensazione che un corpo preciso possa diventare abitudine.
Quando il treno sta per partire, basta un messaggio per aprire un'altra possibilità.
Ella è il quinto capitolo di Intrecci Sbagliati. Scopri il libro dal link nel profilo.
🌐 https://diaridipelle.it/intrecci-sbagliati.html
📕 Cartaceo: https://www.amazon.it/dp/B0GX27ZJ1L
📱 Kindle: https://www.amazon.it/dp/B0GX2JR3F6
#DiariDiPelle #IntrecciSbagliati #Ella #Desiderio #LibriDaLeggere</x:v>
      </x:c>
      <x:c r="Q115" s="81" t="str">
        <x:f>'TESTI'!J18</x:f>
        <x:v>https://diaridipelle.it/intrecci-sbagliati.html</x:v>
      </x:c>
      <x:c r="R115" s="81" t="str">
        <x:v>Meta Business Suite</x:v>
      </x:c>
      <x:c r="S115" s="117" t="str">
        <x:v>Programmabile</x:v>
      </x:c>
      <x:c r="T115" s="117" t="str">
        <x:v>Da fare</x:v>
      </x:c>
      <x:c r="U115" s="81" t="str">
        <x:v>Pubblica sulla Pagina Facebook. I collegamenti nella caption sono cliccabili.</x:v>
      </x:c>
      <x:c r="V115" s="81" t="str">
        <x:f>IF(AND(E115&lt;TODAY(),T115&lt;&gt;"Pubblicato"),"SÌ","")</x:f>
      </x:c>
    </x:row>
    <x:row r="116" ht="78" customHeight="1">
      <x:c r="A116" s="117" t="str">
        <x:v>T115</x:v>
      </x:c>
      <x:c r="B116" s="117" t="n">
        <x:v>9</x:v>
      </x:c>
      <x:c r="C116" s="118" t="n">
        <x:f>'CAMPAGNE'!G18</x:f>
        <x:v>46292</x:v>
      </x:c>
      <x:c r="D116" s="119" t="n">
        <x:v>0.75</x:v>
      </x:c>
      <x:c r="E116" s="120" t="n">
        <x:f>'CAMPAGNE'!H18</x:f>
        <x:v>46294</x:v>
      </x:c>
      <x:c r="F116" s="117" t="str">
        <x:f>CHOOSE(WEEKDAY(E116,2),"Lunedì","Martedì","Mercoledì","Giovedì","Venerdì","Sabato","Domenica")</x:f>
        <x:v>Martedì</x:v>
      </x:c>
      <x:c r="G116" s="119" t="n">
        <x:v>0.8333333333333334</x:v>
      </x:c>
      <x:c r="H116" s="117" t="str">
        <x:v>TikTok</x:v>
      </x:c>
      <x:c r="I116" s="117" t="str">
        <x:v>Video</x:v>
      </x:c>
      <x:c r="J116" s="81" t="str">
        <x:v>Intrecci Sbagliati</x:v>
      </x:c>
      <x:c r="K116" s="117" t="str">
        <x:v>CH05</x:v>
      </x:c>
      <x:c r="L116" s="81" t="str">
        <x:v>Ella</x:v>
      </x:c>
      <x:c r="M116" s="81" t="str">
        <x:v>Carica il video in TikTok Studio, scegli la copertina, incolla la caption breve e programma.</x:v>
      </x:c>
      <x:c r="N116" s="81" t="str">
        <x:v>Intrecci_Sbagliati_Social_Pack/01_REELS/CH05_reel.mp4</x:v>
      </x:c>
      <x:c r="O116" s="81" t="str">
        <x:v>Intrecci_Sbagliati_Social_Pack/02_REEL_COVERS/CH05_cover.jpg</x:v>
      </x:c>
      <x:c r="P116" s="81" t="str">
        <x:f>'TESTI'!G18</x:f>
        <x:v>Parigi aveva insegnato la libertà delle notti fugaci. Poi arrivò Ella e rese insufficiente tutto il resto.
«Ella» da Intrecci Sbagliati.
Scopri il libro dal link in bio.
#DiariDiPelle #IntrecciSbagliati #BookTokItalia #LibriTikTok</x:v>
      </x:c>
      <x:c r="Q116" s="81" t="str">
        <x:f>'TESTI'!J18</x:f>
        <x:v>https://diaridipelle.it/intrecci-sbagliati.html</x:v>
      </x:c>
      <x:c r="R116" s="81" t="str">
        <x:v>TikTok Studio</x:v>
      </x:c>
      <x:c r="S116" s="117" t="str">
        <x:v>Programmabile entro 10 giorni</x:v>
      </x:c>
      <x:c r="T116" s="117" t="str">
        <x:v>Da fare</x:v>
      </x:c>
      <x:c r="U116" s="81" t="str">
        <x:v>Non aggiungere watermark. Controlla anteprima verticale e audio.</x:v>
      </x:c>
      <x:c r="V116" s="81" t="str">
        <x:f>IF(AND(E116&lt;TODAY(),T116&lt;&gt;"Pubblicato"),"SÌ","")</x:f>
      </x:c>
    </x:row>
    <x:row r="117" ht="78" customHeight="1">
      <x:c r="A117" s="117" t="str">
        <x:v>T116</x:v>
      </x:c>
      <x:c r="B117" s="117" t="n">
        <x:v>9</x:v>
      </x:c>
      <x:c r="C117" s="118" t="n">
        <x:f>'CAMPAGNE'!I18</x:f>
        <x:v>46295</x:v>
      </x:c>
      <x:c r="D117" s="119" t="n">
        <x:v>0.4965277777777778</x:v>
      </x:c>
      <x:c r="E117" s="120" t="n">
        <x:f>'CAMPAGNE'!I18</x:f>
        <x:v>46295</x:v>
      </x:c>
      <x:c r="F117" s="117" t="str">
        <x:f>CHOOSE(WEEKDAY(E117,2),"Lunedì","Martedì","Mercoledì","Giovedì","Venerdì","Sabato","Domenica")</x:f>
        <x:v>Mercoledì</x:v>
      </x:c>
      <x:c r="G117" s="119" t="n">
        <x:v>0.5</x:v>
      </x:c>
      <x:c r="H117" s="117" t="str">
        <x:v>Instagram</x:v>
      </x:c>
      <x:c r="I117" s="117" t="str">
        <x:v>Storia</x:v>
      </x:c>
      <x:c r="J117" s="81" t="str">
        <x:v>Intrecci Sbagliati</x:v>
      </x:c>
      <x:c r="K117" s="117" t="str">
        <x:v>CH05</x:v>
      </x:c>
      <x:c r="L117" s="81" t="str">
        <x:v>Ella</x:v>
      </x:c>
      <x:c r="M117" s="81" t="str">
        <x:v>Carica l'immagine, aggiungi l'adesivo Link e pubblica.</x:v>
      </x:c>
      <x:c r="N117" s="81" t="str">
        <x:v>Intrecci_Sbagliati_Social_Pack/04_STORIES/CH05_story.jpg</x:v>
      </x:c>
      <x:c r="O117" s="81" t="str">
        <x:v>Intrecci_Sbagliati_Social_Pack/05_CAPTIONS/CH05_story_link.txt</x:v>
      </x:c>
      <x:c r="P117" s="81" t="str">
        <x:f>'TESTI'!N18</x:f>
        <x:v>Tocca SCOPRI IL LIBRO e scegli cartaceo o Kindle.</x:v>
      </x:c>
      <x:c r="Q117" s="81" t="str">
        <x:f>'TESTI'!H18</x:f>
        <x:v>https://diaridipelle.it/intrecci-sbagliati.html?utm_source=instagram&amp;utm_medium=story&amp;utm_campaign=intrecci_sbagliati&amp;utm_content=ch05</x:v>
      </x:c>
      <x:c r="R117" s="81" t="str">
        <x:v>App Instagram</x:v>
      </x:c>
      <x:c r="S117" s="117" t="str">
        <x:v>Manuale</x:v>
      </x:c>
      <x:c r="T117" s="117" t="str">
        <x:v>Da fare</x:v>
      </x:c>
      <x:c r="U117" s="81" t="str">
        <x:v>La data lavoro è lo stesso giorno, 5 minuti prima. Testo adesivo: SCOPRI IL LIBRO.</x:v>
      </x:c>
      <x:c r="V117" s="81" t="str">
        <x:f>IF(AND(E117&lt;TODAY(),T117&lt;&gt;"Pubblicato"),"SÌ","")</x:f>
      </x:c>
    </x:row>
    <x:row r="118" ht="78" customHeight="1">
      <x:c r="A118" s="117" t="str">
        <x:v>T117</x:v>
      </x:c>
      <x:c r="B118" s="117" t="n">
        <x:v>9</x:v>
      </x:c>
      <x:c r="C118" s="118" t="n">
        <x:f>'CAMPAGNE'!F18</x:f>
        <x:v>46292</x:v>
      </x:c>
      <x:c r="D118" s="119" t="n">
        <x:v>0.75</x:v>
      </x:c>
      <x:c r="E118" s="120" t="n">
        <x:f>'CAMPAGNE'!I18</x:f>
        <x:v>46295</x:v>
      </x:c>
      <x:c r="F118" s="117" t="str">
        <x:f>CHOOSE(WEEKDAY(E118,2),"Lunedì","Martedì","Mercoledì","Giovedì","Venerdì","Sabato","Domenica")</x:f>
        <x:v>Mercoledì</x:v>
      </x:c>
      <x:c r="G118" s="119" t="n">
        <x:v>0.5</x:v>
      </x:c>
      <x:c r="H118" s="117" t="str">
        <x:v>Facebook</x:v>
      </x:c>
      <x:c r="I118" s="117" t="str">
        <x:v>Storia</x:v>
      </x:c>
      <x:c r="J118" s="81" t="str">
        <x:v>Intrecci Sbagliati</x:v>
      </x:c>
      <x:c r="K118" s="117" t="str">
        <x:v>CH05</x:v>
      </x:c>
      <x:c r="L118" s="81" t="str">
        <x:v>Ella</x:v>
      </x:c>
      <x:c r="M118" s="81" t="str">
        <x:v>Crea una Storia della Pagina, carica l'immagine, aggiungi il link e programma.</x:v>
      </x:c>
      <x:c r="N118" s="81" t="str">
        <x:v>Intrecci_Sbagliati_Social_Pack/04_STORIES/CH05_story.jpg</x:v>
      </x:c>
      <x:c r="O118" s="81" t="str">
        <x:v>Intrecci_Sbagliati_Social_Pack/05_CAPTIONS/CH05_story_link.txt</x:v>
      </x:c>
      <x:c r="P118" s="81" t="str">
        <x:f>'TESTI'!N18</x:f>
        <x:v>Tocca SCOPRI IL LIBRO e scegli cartaceo o Kindle.</x:v>
      </x:c>
      <x:c r="Q118" s="81" t="str">
        <x:f>'TESTI'!I18</x:f>
        <x:v>https://diaridipelle.it/intrecci-sbagliati.html?utm_source=facebook&amp;utm_medium=story&amp;utm_campaign=intrecci_sbagliati&amp;utm_content=ch05</x:v>
      </x:c>
      <x:c r="R118" s="81" t="str">
        <x:v>Meta Business Suite</x:v>
      </x:c>
      <x:c r="S118" s="117" t="str">
        <x:v>Programmabile</x:v>
      </x:c>
      <x:c r="T118" s="117" t="str">
        <x:v>Da fare</x:v>
      </x:c>
      <x:c r="U118" s="81" t="str">
        <x:v>Controlla che la destinazione sia la Pagina Facebook.</x:v>
      </x:c>
      <x:c r="V118" s="81" t="str">
        <x:f>IF(AND(E118&lt;TODAY(),T118&lt;&gt;"Pubblicato"),"SÌ","")</x:f>
      </x:c>
    </x:row>
    <x:row r="119" ht="78" customHeight="1">
      <x:c r="A119" s="117" t="str">
        <x:v>T118</x:v>
      </x:c>
      <x:c r="B119" s="117" t="n">
        <x:v>9</x:v>
      </x:c>
      <x:c r="C119" s="118" t="n">
        <x:f>'CAMPAGNE'!F18</x:f>
        <x:v>46292</x:v>
      </x:c>
      <x:c r="D119" s="119" t="n">
        <x:v>0.75</x:v>
      </x:c>
      <x:c r="E119" s="120" t="n">
        <x:f>'CAMPAGNE'!J18</x:f>
        <x:v>46296</x:v>
      </x:c>
      <x:c r="F119" s="117" t="str">
        <x:f>CHOOSE(WEEKDAY(E119,2),"Lunedì","Martedì","Mercoledì","Giovedì","Venerdì","Sabato","Domenica")</x:f>
        <x:v>Giovedì</x:v>
      </x:c>
      <x:c r="G119" s="119" t="n">
        <x:v>0.8333333333333334</x:v>
      </x:c>
      <x:c r="H119" s="117" t="str">
        <x:v>Instagram</x:v>
      </x:c>
      <x:c r="I119" s="117" t="str">
        <x:v>Carosello</x:v>
      </x:c>
      <x:c r="J119" s="81" t="str">
        <x:v>Intrecci Sbagliati</x:v>
      </x:c>
      <x:c r="K119" s="117" t="str">
        <x:v>CH05</x:v>
      </x:c>
      <x:c r="L119" s="81" t="str">
        <x:v>Ella</x:v>
      </x:c>
      <x:c r="M119" s="81" t="str">
        <x:v>Carica le tre immagini nell'ordine 01, 02, 03; incolla la caption e programma.</x:v>
      </x:c>
      <x:c r="N119" s="81" t="str">
        <x:v>Intrecci_Sbagliati_Social_Pack/03_CAROUSELS/CH05/CH05_01.jpg
Intrecci_Sbagliati_Social_Pack/03_CAROUSELS/CH05/CH05_02.jpg
Intrecci_Sbagliati_Social_Pack/03_CAROUSELS/CH05/CH05_03.jpg</x:v>
      </x:c>
      <x:c r="O119" s="81" t="str">
        <x:v>Ordine obbligatorio: 01 → 02 → 03</x:v>
      </x:c>
      <x:c r="P119" s="81" t="str">
        <x:f>'TESTI'!E18</x:f>
        <x:v>Parigi aveva insegnato la libertà delle notti fugaci. Poi arrivò Ella e rese insufficiente tutto il resto.
Con lei il desiderio attraversa un confine nuovo: fiducia, controllo, intimità e la sensazione che un corpo preciso possa diventare abitudine.
Quando il treno sta per partire, basta un messaggio per aprire un'altra possibilità.
Ella è il quinto capitolo di Intrecci Sbagliati. Scopri il libro dal link nel profilo.
#DiariDiPelle #IntrecciSbagliati #Ella #Desiderio #LibriDaLeggere</x:v>
      </x:c>
      <x:c r="Q119" s="81" t="str">
        <x:f>'TESTI'!J18</x:f>
        <x:v>https://diaridipelle.it/intrecci-sbagliati.html</x:v>
      </x:c>
      <x:c r="R119" s="81" t="str">
        <x:v>App Instagram</x:v>
      </x:c>
      <x:c r="S119" s="117" t="str">
        <x:v>Programmabile</x:v>
      </x:c>
      <x:c r="T119" s="117" t="str">
        <x:v>Da fare</x:v>
      </x:c>
      <x:c r="U119" s="81" t="str">
        <x:v>Verifica che nessuna slide sia tagliata. Il link è nel profilo.</x:v>
      </x:c>
      <x:c r="V119" s="81" t="str">
        <x:f>IF(AND(E119&lt;TODAY(),T119&lt;&gt;"Pubblicato"),"SÌ","")</x:f>
      </x:c>
    </x:row>
    <x:row r="120" ht="78" customHeight="1">
      <x:c r="A120" s="117" t="str">
        <x:v>T119</x:v>
      </x:c>
      <x:c r="B120" s="117" t="n">
        <x:v>9</x:v>
      </x:c>
      <x:c r="C120" s="118" t="n">
        <x:f>'CAMPAGNE'!F18</x:f>
        <x:v>46292</x:v>
      </x:c>
      <x:c r="D120" s="119" t="n">
        <x:v>0.75</x:v>
      </x:c>
      <x:c r="E120" s="120" t="n">
        <x:f>'CAMPAGNE'!J18</x:f>
        <x:v>46296</x:v>
      </x:c>
      <x:c r="F120" s="117" t="str">
        <x:f>CHOOSE(WEEKDAY(E120,2),"Lunedì","Martedì","Mercoledì","Giovedì","Venerdì","Sabato","Domenica")</x:f>
        <x:v>Giovedì</x:v>
      </x:c>
      <x:c r="G120" s="119" t="n">
        <x:v>0.8333333333333334</x:v>
      </x:c>
      <x:c r="H120" s="117" t="str">
        <x:v>Facebook</x:v>
      </x:c>
      <x:c r="I120" s="117" t="str">
        <x:v>Carosello</x:v>
      </x:c>
      <x:c r="J120" s="81" t="str">
        <x:v>Intrecci Sbagliati</x:v>
      </x:c>
      <x:c r="K120" s="117" t="str">
        <x:v>CH05</x:v>
      </x:c>
      <x:c r="L120" s="81" t="str">
        <x:v>Ella</x:v>
      </x:c>
      <x:c r="M120" s="81" t="str">
        <x:v>Carica le tre immagini nell'ordine 01, 02, 03; incolla la caption e programma.</x:v>
      </x:c>
      <x:c r="N120" s="81" t="str">
        <x:v>Intrecci_Sbagliati_Social_Pack/03_CAROUSELS/CH05/CH05_01.jpg
Intrecci_Sbagliati_Social_Pack/03_CAROUSELS/CH05/CH05_02.jpg
Intrecci_Sbagliati_Social_Pack/03_CAROUSELS/CH05/CH05_03.jpg</x:v>
      </x:c>
      <x:c r="O120" s="81" t="str">
        <x:v>Ordine obbligatorio: 01 → 02 → 03</x:v>
      </x:c>
      <x:c r="P120" s="81" t="str">
        <x:f>'TESTI'!F18</x:f>
        <x:v>Parigi aveva insegnato la libertà delle notti fugaci. Poi arrivò Ella e rese insufficiente tutto il resto.
Con lei il desiderio attraversa un confine nuovo: fiducia, controllo, intimità e la sensazione che un corpo preciso possa diventare abitudine.
Quando il treno sta per partire, basta un messaggio per aprire un'altra possibilità.
Ella è il quinto capitolo di Intrecci Sbagliati. Scopri il libro dal link nel profilo.
🌐 https://diaridipelle.it/intrecci-sbagliati.html
📕 Cartaceo: https://www.amazon.it/dp/B0GX27ZJ1L
📱 Kindle: https://www.amazon.it/dp/B0GX2JR3F6
#DiariDiPelle #IntrecciSbagliati #Ella #Desiderio #LibriDaLeggere</x:v>
      </x:c>
      <x:c r="Q120" s="81" t="str">
        <x:f>'TESTI'!J18</x:f>
        <x:v>https://diaridipelle.it/intrecci-sbagliati.html</x:v>
      </x:c>
      <x:c r="R120" s="81" t="str">
        <x:v>Meta Business Suite</x:v>
      </x:c>
      <x:c r="S120" s="117" t="str">
        <x:v>Programmabile</x:v>
      </x:c>
      <x:c r="T120" s="117" t="str">
        <x:v>Da fare</x:v>
      </x:c>
      <x:c r="U120" s="81" t="str">
        <x:v>Controlla ordine delle immagini e collegamenti nella caption.</x:v>
      </x:c>
      <x:c r="V120" s="81" t="str">
        <x:f>IF(AND(E120&lt;TODAY(),T120&lt;&gt;"Pubblicato"),"SÌ","")</x:f>
      </x:c>
    </x:row>
    <x:row r="121" ht="78" customHeight="1">
      <x:c r="A121" s="117" t="str">
        <x:v>T120</x:v>
      </x:c>
      <x:c r="B121" s="117" t="n">
        <x:v>9</x:v>
      </x:c>
      <x:c r="C121" s="118" t="n">
        <x:f>'CAMPAGNE'!F19</x:f>
        <x:v>46292</x:v>
      </x:c>
      <x:c r="D121" s="119" t="n">
        <x:v>0.75</x:v>
      </x:c>
      <x:c r="E121" s="120" t="n">
        <x:f>'CAMPAGNE'!H19</x:f>
        <x:v>46297</x:v>
      </x:c>
      <x:c r="F121" s="117" t="str">
        <x:f>CHOOSE(WEEKDAY(E121,2),"Lunedì","Martedì","Mercoledì","Giovedì","Venerdì","Sabato","Domenica")</x:f>
        <x:v>Venerdì</x:v>
      </x:c>
      <x:c r="G121" s="119" t="n">
        <x:v>0.8333333333333334</x:v>
      </x:c>
      <x:c r="H121" s="117" t="str">
        <x:v>Instagram</x:v>
      </x:c>
      <x:c r="I121" s="117" t="str">
        <x:v>Reel</x:v>
      </x:c>
      <x:c r="J121" s="81" t="str">
        <x:v>Intrecci Sbagliati</x:v>
      </x:c>
      <x:c r="K121" s="117" t="str">
        <x:v>CH06</x:v>
      </x:c>
      <x:c r="L121" s="81" t="str">
        <x:v>Ancora Lei</x:v>
      </x:c>
      <x:c r="M121" s="81" t="str">
        <x:v>Carica il video, imposta la copertina, incolla la caption e programma.</x:v>
      </x:c>
      <x:c r="N121" s="81" t="str">
        <x:v>Intrecci_Sbagliati_Social_Pack/01_REELS/CH06_reel.mp4</x:v>
      </x:c>
      <x:c r="O121" s="81" t="str">
        <x:v>Intrecci_Sbagliati_Social_Pack/02_REEL_COVERS/CH06_cover.jpg</x:v>
      </x:c>
      <x:c r="P121" s="81" t="str">
        <x:f>'TESTI'!E19</x:f>
        <x:v>Ella era già sul treno, con le valigie e la vita pronta a ripartire. Poi lesse un messaggio e scese all'ultimo secondo.
Tre giorni possono contenere un amore, un vizio e una guerra. Possono creare promesse enormi e lasciare, sul marciapiede di una stazione, qualcuno che non è ancora capace di capire ciò che ha vissuto.
«Ancora Lei» continua il legame centrale di Intrecci Sbagliati.
Leggi la storia dal link nel profilo.
#DiariDiPelle #IntrecciSbagliati #AncoraLei #StorieDamore #NarrativaContemporanea</x:v>
      </x:c>
      <x:c r="Q121" s="81" t="str">
        <x:f>'TESTI'!J19</x:f>
        <x:v>https://diaridipelle.it/intrecci-sbagliati.html</x:v>
      </x:c>
      <x:c r="R121" s="81" t="str">
        <x:v>App Instagram</x:v>
      </x:c>
      <x:c r="S121" s="117" t="str">
        <x:v>Programmabile</x:v>
      </x:c>
      <x:c r="T121" s="117" t="str">
        <x:v>Da fare</x:v>
      </x:c>
      <x:c r="U121" s="81" t="str">
        <x:v>Controlla audio, ritaglio 9:16 e anteprima copertina. Il link è nel profilo.</x:v>
      </x:c>
      <x:c r="V121" s="81" t="str">
        <x:f>IF(AND(E121&lt;TODAY(),T121&lt;&gt;"Pubblicato"),"SÌ","")</x:f>
      </x:c>
    </x:row>
    <x:row r="122" ht="78" customHeight="1">
      <x:c r="A122" s="117" t="str">
        <x:v>T121</x:v>
      </x:c>
      <x:c r="B122" s="117" t="n">
        <x:v>9</x:v>
      </x:c>
      <x:c r="C122" s="118" t="n">
        <x:f>'CAMPAGNE'!F19</x:f>
        <x:v>46292</x:v>
      </x:c>
      <x:c r="D122" s="119" t="n">
        <x:v>0.75</x:v>
      </x:c>
      <x:c r="E122" s="120" t="n">
        <x:f>'CAMPAGNE'!H19</x:f>
        <x:v>46297</x:v>
      </x:c>
      <x:c r="F122" s="117" t="str">
        <x:f>CHOOSE(WEEKDAY(E122,2),"Lunedì","Martedì","Mercoledì","Giovedì","Venerdì","Sabato","Domenica")</x:f>
        <x:v>Venerdì</x:v>
      </x:c>
      <x:c r="G122" s="119" t="n">
        <x:v>0.8333333333333334</x:v>
      </x:c>
      <x:c r="H122" s="117" t="str">
        <x:v>Facebook</x:v>
      </x:c>
      <x:c r="I122" s="117" t="str">
        <x:v>Reel</x:v>
      </x:c>
      <x:c r="J122" s="81" t="str">
        <x:v>Intrecci Sbagliati</x:v>
      </x:c>
      <x:c r="K122" s="117" t="str">
        <x:v>CH06</x:v>
      </x:c>
      <x:c r="L122" s="81" t="str">
        <x:v>Ancora Lei</x:v>
      </x:c>
      <x:c r="M122" s="81" t="str">
        <x:v>Crea un Reel nella Pagina, carica video e copertina, incolla la caption e programma.</x:v>
      </x:c>
      <x:c r="N122" s="81" t="str">
        <x:v>Intrecci_Sbagliati_Social_Pack/01_REELS/CH06_reel.mp4</x:v>
      </x:c>
      <x:c r="O122" s="81" t="str">
        <x:v>Intrecci_Sbagliati_Social_Pack/02_REEL_COVERS/CH06_cover.jpg</x:v>
      </x:c>
      <x:c r="P122" s="81" t="str">
        <x:f>'TESTI'!F19</x:f>
        <x:v>Ella era già sul treno, con le valigie e la vita pronta a ripartire. Poi lesse un messaggio e scese all'ultimo secondo.
Tre giorni possono contenere un amore, un vizio e una guerra. Possono creare promesse enormi e lasciare, sul marciapiede di una stazione, qualcuno che non è ancora capace di capire ciò che ha vissuto.
«Ancora Lei» continua il legame centrale di Intrecci Sbagliati.
Leggi la storia dal link nel profilo.
🌐 https://diaridipelle.it/intrecci-sbagliati.html
📕 Cartaceo: https://www.amazon.it/dp/B0GX27ZJ1L
📱 Kindle: https://www.amazon.it/dp/B0GX2JR3F6
#DiariDiPelle #IntrecciSbagliati #AncoraLei #StorieDamore #NarrativaContemporanea</x:v>
      </x:c>
      <x:c r="Q122" s="81" t="str">
        <x:f>'TESTI'!J19</x:f>
        <x:v>https://diaridipelle.it/intrecci-sbagliati.html</x:v>
      </x:c>
      <x:c r="R122" s="81" t="str">
        <x:v>Meta Business Suite</x:v>
      </x:c>
      <x:c r="S122" s="117" t="str">
        <x:v>Programmabile</x:v>
      </x:c>
      <x:c r="T122" s="117" t="str">
        <x:v>Da fare</x:v>
      </x:c>
      <x:c r="U122" s="81" t="str">
        <x:v>Pubblica sulla Pagina Facebook. I collegamenti nella caption sono cliccabili.</x:v>
      </x:c>
      <x:c r="V122" s="81" t="str">
        <x:f>IF(AND(E122&lt;TODAY(),T122&lt;&gt;"Pubblicato"),"SÌ","")</x:f>
      </x:c>
    </x:row>
    <x:row r="123" ht="78" customHeight="1">
      <x:c r="A123" s="117" t="str">
        <x:v>T122</x:v>
      </x:c>
      <x:c r="B123" s="117" t="n">
        <x:v>9</x:v>
      </x:c>
      <x:c r="C123" s="118" t="n">
        <x:f>'CAMPAGNE'!G19</x:f>
        <x:v>46292</x:v>
      </x:c>
      <x:c r="D123" s="119" t="n">
        <x:v>0.75</x:v>
      </x:c>
      <x:c r="E123" s="120" t="n">
        <x:f>'CAMPAGNE'!H19</x:f>
        <x:v>46297</x:v>
      </x:c>
      <x:c r="F123" s="117" t="str">
        <x:f>CHOOSE(WEEKDAY(E123,2),"Lunedì","Martedì","Mercoledì","Giovedì","Venerdì","Sabato","Domenica")</x:f>
        <x:v>Venerdì</x:v>
      </x:c>
      <x:c r="G123" s="119" t="n">
        <x:v>0.8333333333333334</x:v>
      </x:c>
      <x:c r="H123" s="117" t="str">
        <x:v>TikTok</x:v>
      </x:c>
      <x:c r="I123" s="117" t="str">
        <x:v>Video</x:v>
      </x:c>
      <x:c r="J123" s="81" t="str">
        <x:v>Intrecci Sbagliati</x:v>
      </x:c>
      <x:c r="K123" s="117" t="str">
        <x:v>CH06</x:v>
      </x:c>
      <x:c r="L123" s="81" t="str">
        <x:v>Ancora Lei</x:v>
      </x:c>
      <x:c r="M123" s="81" t="str">
        <x:v>Carica il video in TikTok Studio, scegli la copertina, incolla la caption breve e programma.</x:v>
      </x:c>
      <x:c r="N123" s="81" t="str">
        <x:v>Intrecci_Sbagliati_Social_Pack/01_REELS/CH06_reel.mp4</x:v>
      </x:c>
      <x:c r="O123" s="81" t="str">
        <x:v>Intrecci_Sbagliati_Social_Pack/02_REEL_COVERS/CH06_cover.jpg</x:v>
      </x:c>
      <x:c r="P123" s="81" t="str">
        <x:f>'TESTI'!G19</x:f>
        <x:v>Ella era già sul treno, con le valigie e la vita pronta a ripartire. Poi lesse un messaggio e scese all'ultimo secondo.
«Ancora Lei» da Intrecci Sbagliati.
Scopri il libro dal link in bio.
#DiariDiPelle #IntrecciSbagliati #BookTokItalia #LibriTikTok</x:v>
      </x:c>
      <x:c r="Q123" s="81" t="str">
        <x:f>'TESTI'!J19</x:f>
        <x:v>https://diaridipelle.it/intrecci-sbagliati.html</x:v>
      </x:c>
      <x:c r="R123" s="81" t="str">
        <x:v>TikTok Studio</x:v>
      </x:c>
      <x:c r="S123" s="117" t="str">
        <x:v>Programmabile entro 10 giorni</x:v>
      </x:c>
      <x:c r="T123" s="117" t="str">
        <x:v>Da fare</x:v>
      </x:c>
      <x:c r="U123" s="81" t="str">
        <x:v>Non aggiungere watermark. Controlla anteprima verticale e audio.</x:v>
      </x:c>
      <x:c r="V123" s="81" t="str">
        <x:f>IF(AND(E123&lt;TODAY(),T123&lt;&gt;"Pubblicato"),"SÌ","")</x:f>
      </x:c>
    </x:row>
    <x:row r="124" ht="78" customHeight="1">
      <x:c r="A124" s="117" t="str">
        <x:v>T123</x:v>
      </x:c>
      <x:c r="B124" s="117" t="n">
        <x:v>9</x:v>
      </x:c>
      <x:c r="C124" s="118" t="n">
        <x:f>'CAMPAGNE'!I19</x:f>
        <x:v>46298</x:v>
      </x:c>
      <x:c r="D124" s="119" t="n">
        <x:v>0.4965277777777778</x:v>
      </x:c>
      <x:c r="E124" s="120" t="n">
        <x:f>'CAMPAGNE'!I19</x:f>
        <x:v>46298</x:v>
      </x:c>
      <x:c r="F124" s="117" t="str">
        <x:f>CHOOSE(WEEKDAY(E124,2),"Lunedì","Martedì","Mercoledì","Giovedì","Venerdì","Sabato","Domenica")</x:f>
        <x:v>Sabato</x:v>
      </x:c>
      <x:c r="G124" s="119" t="n">
        <x:v>0.5</x:v>
      </x:c>
      <x:c r="H124" s="117" t="str">
        <x:v>Instagram</x:v>
      </x:c>
      <x:c r="I124" s="117" t="str">
        <x:v>Storia</x:v>
      </x:c>
      <x:c r="J124" s="81" t="str">
        <x:v>Intrecci Sbagliati</x:v>
      </x:c>
      <x:c r="K124" s="117" t="str">
        <x:v>CH06</x:v>
      </x:c>
      <x:c r="L124" s="81" t="str">
        <x:v>Ancora Lei</x:v>
      </x:c>
      <x:c r="M124" s="81" t="str">
        <x:v>Carica l'immagine, aggiungi l'adesivo Link e pubblica.</x:v>
      </x:c>
      <x:c r="N124" s="81" t="str">
        <x:v>Intrecci_Sbagliati_Social_Pack/04_STORIES/CH06_story.jpg</x:v>
      </x:c>
      <x:c r="O124" s="81" t="str">
        <x:v>Intrecci_Sbagliati_Social_Pack/05_CAPTIONS/CH06_story_link.txt</x:v>
      </x:c>
      <x:c r="P124" s="81" t="str">
        <x:f>'TESTI'!N19</x:f>
        <x:v>Tocca SCOPRI IL LIBRO e scegli cartaceo o Kindle.</x:v>
      </x:c>
      <x:c r="Q124" s="81" t="str">
        <x:f>'TESTI'!H19</x:f>
        <x:v>https://diaridipelle.it/intrecci-sbagliati.html?utm_source=instagram&amp;utm_medium=story&amp;utm_campaign=intrecci_sbagliati&amp;utm_content=ch06</x:v>
      </x:c>
      <x:c r="R124" s="81" t="str">
        <x:v>App Instagram</x:v>
      </x:c>
      <x:c r="S124" s="117" t="str">
        <x:v>Manuale</x:v>
      </x:c>
      <x:c r="T124" s="117" t="str">
        <x:v>Da fare</x:v>
      </x:c>
      <x:c r="U124" s="81" t="str">
        <x:v>La data lavoro è lo stesso giorno, 5 minuti prima. Testo adesivo: SCOPRI IL LIBRO.</x:v>
      </x:c>
      <x:c r="V124" s="81" t="str">
        <x:f>IF(AND(E124&lt;TODAY(),T124&lt;&gt;"Pubblicato"),"SÌ","")</x:f>
      </x:c>
    </x:row>
    <x:row r="125" ht="78" customHeight="1">
      <x:c r="A125" s="117" t="str">
        <x:v>T124</x:v>
      </x:c>
      <x:c r="B125" s="117" t="n">
        <x:v>9</x:v>
      </x:c>
      <x:c r="C125" s="118" t="n">
        <x:f>'CAMPAGNE'!F19</x:f>
        <x:v>46292</x:v>
      </x:c>
      <x:c r="D125" s="119" t="n">
        <x:v>0.75</x:v>
      </x:c>
      <x:c r="E125" s="120" t="n">
        <x:f>'CAMPAGNE'!I19</x:f>
        <x:v>46298</x:v>
      </x:c>
      <x:c r="F125" s="117" t="str">
        <x:f>CHOOSE(WEEKDAY(E125,2),"Lunedì","Martedì","Mercoledì","Giovedì","Venerdì","Sabato","Domenica")</x:f>
        <x:v>Sabato</x:v>
      </x:c>
      <x:c r="G125" s="119" t="n">
        <x:v>0.5</x:v>
      </x:c>
      <x:c r="H125" s="117" t="str">
        <x:v>Facebook</x:v>
      </x:c>
      <x:c r="I125" s="117" t="str">
        <x:v>Storia</x:v>
      </x:c>
      <x:c r="J125" s="81" t="str">
        <x:v>Intrecci Sbagliati</x:v>
      </x:c>
      <x:c r="K125" s="117" t="str">
        <x:v>CH06</x:v>
      </x:c>
      <x:c r="L125" s="81" t="str">
        <x:v>Ancora Lei</x:v>
      </x:c>
      <x:c r="M125" s="81" t="str">
        <x:v>Crea una Storia della Pagina, carica l'immagine, aggiungi il link e programma.</x:v>
      </x:c>
      <x:c r="N125" s="81" t="str">
        <x:v>Intrecci_Sbagliati_Social_Pack/04_STORIES/CH06_story.jpg</x:v>
      </x:c>
      <x:c r="O125" s="81" t="str">
        <x:v>Intrecci_Sbagliati_Social_Pack/05_CAPTIONS/CH06_story_link.txt</x:v>
      </x:c>
      <x:c r="P125" s="81" t="str">
        <x:f>'TESTI'!N19</x:f>
        <x:v>Tocca SCOPRI IL LIBRO e scegli cartaceo o Kindle.</x:v>
      </x:c>
      <x:c r="Q125" s="81" t="str">
        <x:f>'TESTI'!I19</x:f>
        <x:v>https://diaridipelle.it/intrecci-sbagliati.html?utm_source=facebook&amp;utm_medium=story&amp;utm_campaign=intrecci_sbagliati&amp;utm_content=ch06</x:v>
      </x:c>
      <x:c r="R125" s="81" t="str">
        <x:v>Meta Business Suite</x:v>
      </x:c>
      <x:c r="S125" s="117" t="str">
        <x:v>Programmabile</x:v>
      </x:c>
      <x:c r="T125" s="117" t="str">
        <x:v>Da fare</x:v>
      </x:c>
      <x:c r="U125" s="81" t="str">
        <x:v>Controlla che la destinazione sia la Pagina Facebook.</x:v>
      </x:c>
      <x:c r="V125" s="81" t="str">
        <x:f>IF(AND(E125&lt;TODAY(),T125&lt;&gt;"Pubblicato"),"SÌ","")</x:f>
      </x:c>
    </x:row>
    <x:row r="126" ht="78" customHeight="1">
      <x:c r="A126" s="117" t="str">
        <x:v>T125</x:v>
      </x:c>
      <x:c r="B126" s="117" t="n">
        <x:v>9</x:v>
      </x:c>
      <x:c r="C126" s="118" t="n">
        <x:f>'CAMPAGNE'!F19</x:f>
        <x:v>46292</x:v>
      </x:c>
      <x:c r="D126" s="119" t="n">
        <x:v>0.75</x:v>
      </x:c>
      <x:c r="E126" s="120" t="n">
        <x:f>'CAMPAGNE'!J19</x:f>
        <x:v>46299</x:v>
      </x:c>
      <x:c r="F126" s="117" t="str">
        <x:f>CHOOSE(WEEKDAY(E126,2),"Lunedì","Martedì","Mercoledì","Giovedì","Venerdì","Sabato","Domenica")</x:f>
        <x:v>Domenica</x:v>
      </x:c>
      <x:c r="G126" s="119" t="n">
        <x:v>0.4583333333333333</x:v>
      </x:c>
      <x:c r="H126" s="117" t="str">
        <x:v>Instagram</x:v>
      </x:c>
      <x:c r="I126" s="117" t="str">
        <x:v>Carosello</x:v>
      </x:c>
      <x:c r="J126" s="81" t="str">
        <x:v>Intrecci Sbagliati</x:v>
      </x:c>
      <x:c r="K126" s="117" t="str">
        <x:v>CH06</x:v>
      </x:c>
      <x:c r="L126" s="81" t="str">
        <x:v>Ancora Lei</x:v>
      </x:c>
      <x:c r="M126" s="81" t="str">
        <x:v>Carica le tre immagini nell'ordine 01, 02, 03; incolla la caption e programma.</x:v>
      </x:c>
      <x:c r="N126" s="81" t="str">
        <x:v>Intrecci_Sbagliati_Social_Pack/03_CAROUSELS/CH06/CH06_01.jpg
Intrecci_Sbagliati_Social_Pack/03_CAROUSELS/CH06/CH06_02.jpg
Intrecci_Sbagliati_Social_Pack/03_CAROUSELS/CH06/CH06_03.jpg</x:v>
      </x:c>
      <x:c r="O126" s="81" t="str">
        <x:v>Ordine obbligatorio: 01 → 02 → 03</x:v>
      </x:c>
      <x:c r="P126" s="81" t="str">
        <x:f>'TESTI'!E19</x:f>
        <x:v>Ella era già sul treno, con le valigie e la vita pronta a ripartire. Poi lesse un messaggio e scese all'ultimo secondo.
Tre giorni possono contenere un amore, un vizio e una guerra. Possono creare promesse enormi e lasciare, sul marciapiede di una stazione, qualcuno che non è ancora capace di capire ciò che ha vissuto.
«Ancora Lei» continua il legame centrale di Intrecci Sbagliati.
Leggi la storia dal link nel profilo.
#DiariDiPelle #IntrecciSbagliati #AncoraLei #StorieDamore #NarrativaContemporanea</x:v>
      </x:c>
      <x:c r="Q126" s="81" t="str">
        <x:f>'TESTI'!J19</x:f>
        <x:v>https://diaridipelle.it/intrecci-sbagliati.html</x:v>
      </x:c>
      <x:c r="R126" s="81" t="str">
        <x:v>App Instagram</x:v>
      </x:c>
      <x:c r="S126" s="117" t="str">
        <x:v>Programmabile</x:v>
      </x:c>
      <x:c r="T126" s="117" t="str">
        <x:v>Da fare</x:v>
      </x:c>
      <x:c r="U126" s="81" t="str">
        <x:v>Verifica che nessuna slide sia tagliata. Il link è nel profilo.</x:v>
      </x:c>
      <x:c r="V126" s="81" t="str">
        <x:f>IF(AND(E126&lt;TODAY(),T126&lt;&gt;"Pubblicato"),"SÌ","")</x:f>
      </x:c>
    </x:row>
    <x:row r="127" ht="78" customHeight="1">
      <x:c r="A127" s="117" t="str">
        <x:v>T126</x:v>
      </x:c>
      <x:c r="B127" s="117" t="n">
        <x:v>9</x:v>
      </x:c>
      <x:c r="C127" s="118" t="n">
        <x:f>'CAMPAGNE'!F19</x:f>
        <x:v>46292</x:v>
      </x:c>
      <x:c r="D127" s="119" t="n">
        <x:v>0.75</x:v>
      </x:c>
      <x:c r="E127" s="120" t="n">
        <x:f>'CAMPAGNE'!J19</x:f>
        <x:v>46299</x:v>
      </x:c>
      <x:c r="F127" s="117" t="str">
        <x:f>CHOOSE(WEEKDAY(E127,2),"Lunedì","Martedì","Mercoledì","Giovedì","Venerdì","Sabato","Domenica")</x:f>
        <x:v>Domenica</x:v>
      </x:c>
      <x:c r="G127" s="119" t="n">
        <x:v>0.4583333333333333</x:v>
      </x:c>
      <x:c r="H127" s="117" t="str">
        <x:v>Facebook</x:v>
      </x:c>
      <x:c r="I127" s="117" t="str">
        <x:v>Carosello</x:v>
      </x:c>
      <x:c r="J127" s="81" t="str">
        <x:v>Intrecci Sbagliati</x:v>
      </x:c>
      <x:c r="K127" s="117" t="str">
        <x:v>CH06</x:v>
      </x:c>
      <x:c r="L127" s="81" t="str">
        <x:v>Ancora Lei</x:v>
      </x:c>
      <x:c r="M127" s="81" t="str">
        <x:v>Carica le tre immagini nell'ordine 01, 02, 03; incolla la caption e programma.</x:v>
      </x:c>
      <x:c r="N127" s="81" t="str">
        <x:v>Intrecci_Sbagliati_Social_Pack/03_CAROUSELS/CH06/CH06_01.jpg
Intrecci_Sbagliati_Social_Pack/03_CAROUSELS/CH06/CH06_02.jpg
Intrecci_Sbagliati_Social_Pack/03_CAROUSELS/CH06/CH06_03.jpg</x:v>
      </x:c>
      <x:c r="O127" s="81" t="str">
        <x:v>Ordine obbligatorio: 01 → 02 → 03</x:v>
      </x:c>
      <x:c r="P127" s="81" t="str">
        <x:f>'TESTI'!F19</x:f>
        <x:v>Ella era già sul treno, con le valigie e la vita pronta a ripartire. Poi lesse un messaggio e scese all'ultimo secondo.
Tre giorni possono contenere un amore, un vizio e una guerra. Possono creare promesse enormi e lasciare, sul marciapiede di una stazione, qualcuno che non è ancora capace di capire ciò che ha vissuto.
«Ancora Lei» continua il legame centrale di Intrecci Sbagliati.
Leggi la storia dal link nel profilo.
🌐 https://diaridipelle.it/intrecci-sbagliati.html
📕 Cartaceo: https://www.amazon.it/dp/B0GX27ZJ1L
📱 Kindle: https://www.amazon.it/dp/B0GX2JR3F6
#DiariDiPelle #IntrecciSbagliati #AncoraLei #StorieDamore #NarrativaContemporanea</x:v>
      </x:c>
      <x:c r="Q127" s="81" t="str">
        <x:f>'TESTI'!J19</x:f>
        <x:v>https://diaridipelle.it/intrecci-sbagliati.html</x:v>
      </x:c>
      <x:c r="R127" s="81" t="str">
        <x:v>Meta Business Suite</x:v>
      </x:c>
      <x:c r="S127" s="117" t="str">
        <x:v>Programmabile</x:v>
      </x:c>
      <x:c r="T127" s="117" t="str">
        <x:v>Da fare</x:v>
      </x:c>
      <x:c r="U127" s="81" t="str">
        <x:v>Controlla ordine delle immagini e collegamenti nella caption.</x:v>
      </x:c>
      <x:c r="V127" s="81" t="str">
        <x:f>IF(AND(E127&lt;TODAY(),T127&lt;&gt;"Pubblicato"),"SÌ","")</x:f>
      </x:c>
    </x:row>
    <x:row r="128" ht="78" customHeight="1">
      <x:c r="A128" s="117" t="str">
        <x:v>T127</x:v>
      </x:c>
      <x:c r="B128" s="117" t="n">
        <x:v>10</x:v>
      </x:c>
      <x:c r="C128" s="118" t="n">
        <x:f>'CAMPAGNE'!F20</x:f>
        <x:v>46292</x:v>
      </x:c>
      <x:c r="D128" s="119" t="n">
        <x:v>0.75</x:v>
      </x:c>
      <x:c r="E128" s="120" t="n">
        <x:f>'CAMPAGNE'!H20</x:f>
        <x:v>46301</x:v>
      </x:c>
      <x:c r="F128" s="117" t="str">
        <x:f>CHOOSE(WEEKDAY(E128,2),"Lunedì","Martedì","Mercoledì","Giovedì","Venerdì","Sabato","Domenica")</x:f>
        <x:v>Martedì</x:v>
      </x:c>
      <x:c r="G128" s="119" t="n">
        <x:v>0.8333333333333334</x:v>
      </x:c>
      <x:c r="H128" s="117" t="str">
        <x:v>Instagram</x:v>
      </x:c>
      <x:c r="I128" s="117" t="str">
        <x:v>Reel</x:v>
      </x:c>
      <x:c r="J128" s="81" t="str">
        <x:v>Intrecci Sbagliati</x:v>
      </x:c>
      <x:c r="K128" s="117" t="str">
        <x:v>CH07</x:v>
      </x:c>
      <x:c r="L128" s="81" t="str">
        <x:v>Isabella</x:v>
      </x:c>
      <x:c r="M128" s="81" t="str">
        <x:v>Carica il video, imposta la copertina, incolla la caption e programma.</x:v>
      </x:c>
      <x:c r="N128" s="81" t="str">
        <x:v>Intrecci_Sbagliati_Social_Pack/01_REELS/CH07_reel.mp4</x:v>
      </x:c>
      <x:c r="O128" s="81" t="str">
        <x:v>Intrecci_Sbagliati_Social_Pack/02_REEL_COVERS/CH07_cover.jpg</x:v>
      </x:c>
      <x:c r="P128" s="81" t="str">
        <x:f>'TESTI'!E20</x:f>
        <x:v>Tornare a Torino significa attraversare una frontiera senza cambiare Paese: gli stessi corridoi, ma una persona completamente diversa.
Isabella arriva durante un esame e porta entrambi fuori dal proprio ruolo. Il giorno dopo, davanti a un altro foglio, le formule non hanno più consistenza.
Ci sono notti che non ti fanno avanzare negli studi, ma ti fanno avanzare di anni dentro te stesso.
Scopri Intrecci Sbagliati dal link nel profilo.
#DiariDiPelle #IntrecciSbagliati #Isabella #Torino #RaccontiContemporanei</x:v>
      </x:c>
      <x:c r="Q128" s="81" t="str">
        <x:f>'TESTI'!J20</x:f>
        <x:v>https://diaridipelle.it/intrecci-sbagliati.html</x:v>
      </x:c>
      <x:c r="R128" s="81" t="str">
        <x:v>App Instagram</x:v>
      </x:c>
      <x:c r="S128" s="117" t="str">
        <x:v>Programmabile</x:v>
      </x:c>
      <x:c r="T128" s="117" t="str">
        <x:v>Da fare</x:v>
      </x:c>
      <x:c r="U128" s="81" t="str">
        <x:v>Controlla audio, ritaglio 9:16 e anteprima copertina. Il link è nel profilo.</x:v>
      </x:c>
      <x:c r="V128" s="81" t="str">
        <x:f>IF(AND(E128&lt;TODAY(),T128&lt;&gt;"Pubblicato"),"SÌ","")</x:f>
      </x:c>
    </x:row>
    <x:row r="129" ht="78" customHeight="1">
      <x:c r="A129" s="117" t="str">
        <x:v>T128</x:v>
      </x:c>
      <x:c r="B129" s="117" t="n">
        <x:v>10</x:v>
      </x:c>
      <x:c r="C129" s="118" t="n">
        <x:f>'CAMPAGNE'!F20</x:f>
        <x:v>46292</x:v>
      </x:c>
      <x:c r="D129" s="119" t="n">
        <x:v>0.75</x:v>
      </x:c>
      <x:c r="E129" s="120" t="n">
        <x:f>'CAMPAGNE'!H20</x:f>
        <x:v>46301</x:v>
      </x:c>
      <x:c r="F129" s="117" t="str">
        <x:f>CHOOSE(WEEKDAY(E129,2),"Lunedì","Martedì","Mercoledì","Giovedì","Venerdì","Sabato","Domenica")</x:f>
        <x:v>Martedì</x:v>
      </x:c>
      <x:c r="G129" s="119" t="n">
        <x:v>0.8333333333333334</x:v>
      </x:c>
      <x:c r="H129" s="117" t="str">
        <x:v>Facebook</x:v>
      </x:c>
      <x:c r="I129" s="117" t="str">
        <x:v>Reel</x:v>
      </x:c>
      <x:c r="J129" s="81" t="str">
        <x:v>Intrecci Sbagliati</x:v>
      </x:c>
      <x:c r="K129" s="117" t="str">
        <x:v>CH07</x:v>
      </x:c>
      <x:c r="L129" s="81" t="str">
        <x:v>Isabella</x:v>
      </x:c>
      <x:c r="M129" s="81" t="str">
        <x:v>Crea un Reel nella Pagina, carica video e copertina, incolla la caption e programma.</x:v>
      </x:c>
      <x:c r="N129" s="81" t="str">
        <x:v>Intrecci_Sbagliati_Social_Pack/01_REELS/CH07_reel.mp4</x:v>
      </x:c>
      <x:c r="O129" s="81" t="str">
        <x:v>Intrecci_Sbagliati_Social_Pack/02_REEL_COVERS/CH07_cover.jpg</x:v>
      </x:c>
      <x:c r="P129" s="81" t="str">
        <x:f>'TESTI'!F20</x:f>
        <x:v>Tornare a Torino significa attraversare una frontiera senza cambiare Paese: gli stessi corridoi, ma una persona completamente diversa.
Isabella arriva durante un esame e porta entrambi fuori dal proprio ruolo. Il giorno dopo, davanti a un altro foglio, le formule non hanno più consistenza.
Ci sono notti che non ti fanno avanzare negli studi, ma ti fanno avanzare di anni dentro te stesso.
Scopri Intrecci Sbagliati dal link nel profilo.
🌐 https://diaridipelle.it/intrecci-sbagliati.html
📕 Cartaceo: https://www.amazon.it/dp/B0GX27ZJ1L
📱 Kindle: https://www.amazon.it/dp/B0GX2JR3F6
#DiariDiPelle #IntrecciSbagliati #Isabella #Torino #RaccontiContemporanei</x:v>
      </x:c>
      <x:c r="Q129" s="81" t="str">
        <x:f>'TESTI'!J20</x:f>
        <x:v>https://diaridipelle.it/intrecci-sbagliati.html</x:v>
      </x:c>
      <x:c r="R129" s="81" t="str">
        <x:v>Meta Business Suite</x:v>
      </x:c>
      <x:c r="S129" s="117" t="str">
        <x:v>Programmabile</x:v>
      </x:c>
      <x:c r="T129" s="117" t="str">
        <x:v>Da fare</x:v>
      </x:c>
      <x:c r="U129" s="81" t="str">
        <x:v>Pubblica sulla Pagina Facebook. I collegamenti nella caption sono cliccabili.</x:v>
      </x:c>
      <x:c r="V129" s="81" t="str">
        <x:f>IF(AND(E129&lt;TODAY(),T129&lt;&gt;"Pubblicato"),"SÌ","")</x:f>
      </x:c>
    </x:row>
    <x:row r="130" ht="78" customHeight="1">
      <x:c r="A130" s="117" t="str">
        <x:v>T129</x:v>
      </x:c>
      <x:c r="B130" s="117" t="n">
        <x:v>10</x:v>
      </x:c>
      <x:c r="C130" s="118" t="n">
        <x:f>'CAMPAGNE'!G20</x:f>
        <x:v>46299</x:v>
      </x:c>
      <x:c r="D130" s="119" t="n">
        <x:v>0.75</x:v>
      </x:c>
      <x:c r="E130" s="120" t="n">
        <x:f>'CAMPAGNE'!H20</x:f>
        <x:v>46301</x:v>
      </x:c>
      <x:c r="F130" s="117" t="str">
        <x:f>CHOOSE(WEEKDAY(E130,2),"Lunedì","Martedì","Mercoledì","Giovedì","Venerdì","Sabato","Domenica")</x:f>
        <x:v>Martedì</x:v>
      </x:c>
      <x:c r="G130" s="119" t="n">
        <x:v>0.8333333333333334</x:v>
      </x:c>
      <x:c r="H130" s="117" t="str">
        <x:v>TikTok</x:v>
      </x:c>
      <x:c r="I130" s="117" t="str">
        <x:v>Video</x:v>
      </x:c>
      <x:c r="J130" s="81" t="str">
        <x:v>Intrecci Sbagliati</x:v>
      </x:c>
      <x:c r="K130" s="117" t="str">
        <x:v>CH07</x:v>
      </x:c>
      <x:c r="L130" s="81" t="str">
        <x:v>Isabella</x:v>
      </x:c>
      <x:c r="M130" s="81" t="str">
        <x:v>Carica il video in TikTok Studio, scegli la copertina, incolla la caption breve e programma.</x:v>
      </x:c>
      <x:c r="N130" s="81" t="str">
        <x:v>Intrecci_Sbagliati_Social_Pack/01_REELS/CH07_reel.mp4</x:v>
      </x:c>
      <x:c r="O130" s="81" t="str">
        <x:v>Intrecci_Sbagliati_Social_Pack/02_REEL_COVERS/CH07_cover.jpg</x:v>
      </x:c>
      <x:c r="P130" s="81" t="str">
        <x:f>'TESTI'!G20</x:f>
        <x:v>Tornare a Torino significa attraversare una frontiera senza cambiare Paese: gli stessi corridoi, ma una persona completamente diversa.
«Isabella» da Intrecci Sbagliati.
Scopri il libro dal link in bio.
#DiariDiPelle #IntrecciSbagliati #BookTokItalia #LibriTikTok</x:v>
      </x:c>
      <x:c r="Q130" s="81" t="str">
        <x:f>'TESTI'!J20</x:f>
        <x:v>https://diaridipelle.it/intrecci-sbagliati.html</x:v>
      </x:c>
      <x:c r="R130" s="81" t="str">
        <x:v>TikTok Studio</x:v>
      </x:c>
      <x:c r="S130" s="117" t="str">
        <x:v>Programmabile entro 10 giorni</x:v>
      </x:c>
      <x:c r="T130" s="117" t="str">
        <x:v>Da fare</x:v>
      </x:c>
      <x:c r="U130" s="81" t="str">
        <x:v>Non aggiungere watermark. Controlla anteprima verticale e audio.</x:v>
      </x:c>
      <x:c r="V130" s="81" t="str">
        <x:f>IF(AND(E130&lt;TODAY(),T130&lt;&gt;"Pubblicato"),"SÌ","")</x:f>
      </x:c>
    </x:row>
    <x:row r="131" ht="78" customHeight="1">
      <x:c r="A131" s="117" t="str">
        <x:v>T130</x:v>
      </x:c>
      <x:c r="B131" s="117" t="n">
        <x:v>10</x:v>
      </x:c>
      <x:c r="C131" s="118" t="n">
        <x:f>'CAMPAGNE'!I20</x:f>
        <x:v>46302</x:v>
      </x:c>
      <x:c r="D131" s="119" t="n">
        <x:v>0.4965277777777778</x:v>
      </x:c>
      <x:c r="E131" s="120" t="n">
        <x:f>'CAMPAGNE'!I20</x:f>
        <x:v>46302</x:v>
      </x:c>
      <x:c r="F131" s="117" t="str">
        <x:f>CHOOSE(WEEKDAY(E131,2),"Lunedì","Martedì","Mercoledì","Giovedì","Venerdì","Sabato","Domenica")</x:f>
        <x:v>Mercoledì</x:v>
      </x:c>
      <x:c r="G131" s="119" t="n">
        <x:v>0.5</x:v>
      </x:c>
      <x:c r="H131" s="117" t="str">
        <x:v>Instagram</x:v>
      </x:c>
      <x:c r="I131" s="117" t="str">
        <x:v>Storia</x:v>
      </x:c>
      <x:c r="J131" s="81" t="str">
        <x:v>Intrecci Sbagliati</x:v>
      </x:c>
      <x:c r="K131" s="117" t="str">
        <x:v>CH07</x:v>
      </x:c>
      <x:c r="L131" s="81" t="str">
        <x:v>Isabella</x:v>
      </x:c>
      <x:c r="M131" s="81" t="str">
        <x:v>Carica l'immagine, aggiungi l'adesivo Link e pubblica.</x:v>
      </x:c>
      <x:c r="N131" s="81" t="str">
        <x:v>Intrecci_Sbagliati_Social_Pack/04_STORIES/CH07_story.jpg</x:v>
      </x:c>
      <x:c r="O131" s="81" t="str">
        <x:v>Intrecci_Sbagliati_Social_Pack/05_CAPTIONS/CH07_story_link.txt</x:v>
      </x:c>
      <x:c r="P131" s="81" t="str">
        <x:f>'TESTI'!N20</x:f>
        <x:v>Tocca SCOPRI IL LIBRO e scegli cartaceo o Kindle.</x:v>
      </x:c>
      <x:c r="Q131" s="81" t="str">
        <x:f>'TESTI'!H20</x:f>
        <x:v>https://diaridipelle.it/intrecci-sbagliati.html?utm_source=instagram&amp;utm_medium=story&amp;utm_campaign=intrecci_sbagliati&amp;utm_content=ch07</x:v>
      </x:c>
      <x:c r="R131" s="81" t="str">
        <x:v>App Instagram</x:v>
      </x:c>
      <x:c r="S131" s="117" t="str">
        <x:v>Manuale</x:v>
      </x:c>
      <x:c r="T131" s="117" t="str">
        <x:v>Da fare</x:v>
      </x:c>
      <x:c r="U131" s="81" t="str">
        <x:v>La data lavoro è lo stesso giorno, 5 minuti prima. Testo adesivo: SCOPRI IL LIBRO.</x:v>
      </x:c>
      <x:c r="V131" s="81" t="str">
        <x:f>IF(AND(E131&lt;TODAY(),T131&lt;&gt;"Pubblicato"),"SÌ","")</x:f>
      </x:c>
    </x:row>
    <x:row r="132" ht="78" customHeight="1">
      <x:c r="A132" s="117" t="str">
        <x:v>T131</x:v>
      </x:c>
      <x:c r="B132" s="117" t="n">
        <x:v>10</x:v>
      </x:c>
      <x:c r="C132" s="118" t="n">
        <x:f>'CAMPAGNE'!F20</x:f>
        <x:v>46292</x:v>
      </x:c>
      <x:c r="D132" s="119" t="n">
        <x:v>0.75</x:v>
      </x:c>
      <x:c r="E132" s="120" t="n">
        <x:f>'CAMPAGNE'!I20</x:f>
        <x:v>46302</x:v>
      </x:c>
      <x:c r="F132" s="117" t="str">
        <x:f>CHOOSE(WEEKDAY(E132,2),"Lunedì","Martedì","Mercoledì","Giovedì","Venerdì","Sabato","Domenica")</x:f>
        <x:v>Mercoledì</x:v>
      </x:c>
      <x:c r="G132" s="119" t="n">
        <x:v>0.5</x:v>
      </x:c>
      <x:c r="H132" s="117" t="str">
        <x:v>Facebook</x:v>
      </x:c>
      <x:c r="I132" s="117" t="str">
        <x:v>Storia</x:v>
      </x:c>
      <x:c r="J132" s="81" t="str">
        <x:v>Intrecci Sbagliati</x:v>
      </x:c>
      <x:c r="K132" s="117" t="str">
        <x:v>CH07</x:v>
      </x:c>
      <x:c r="L132" s="81" t="str">
        <x:v>Isabella</x:v>
      </x:c>
      <x:c r="M132" s="81" t="str">
        <x:v>Crea una Storia della Pagina, carica l'immagine, aggiungi il link e programma.</x:v>
      </x:c>
      <x:c r="N132" s="81" t="str">
        <x:v>Intrecci_Sbagliati_Social_Pack/04_STORIES/CH07_story.jpg</x:v>
      </x:c>
      <x:c r="O132" s="81" t="str">
        <x:v>Intrecci_Sbagliati_Social_Pack/05_CAPTIONS/CH07_story_link.txt</x:v>
      </x:c>
      <x:c r="P132" s="81" t="str">
        <x:f>'TESTI'!N20</x:f>
        <x:v>Tocca SCOPRI IL LIBRO e scegli cartaceo o Kindle.</x:v>
      </x:c>
      <x:c r="Q132" s="81" t="str">
        <x:f>'TESTI'!I20</x:f>
        <x:v>https://diaridipelle.it/intrecci-sbagliati.html?utm_source=facebook&amp;utm_medium=story&amp;utm_campaign=intrecci_sbagliati&amp;utm_content=ch07</x:v>
      </x:c>
      <x:c r="R132" s="81" t="str">
        <x:v>Meta Business Suite</x:v>
      </x:c>
      <x:c r="S132" s="117" t="str">
        <x:v>Programmabile</x:v>
      </x:c>
      <x:c r="T132" s="117" t="str">
        <x:v>Da fare</x:v>
      </x:c>
      <x:c r="U132" s="81" t="str">
        <x:v>Controlla che la destinazione sia la Pagina Facebook.</x:v>
      </x:c>
      <x:c r="V132" s="81" t="str">
        <x:f>IF(AND(E132&lt;TODAY(),T132&lt;&gt;"Pubblicato"),"SÌ","")</x:f>
      </x:c>
    </x:row>
    <x:row r="133" ht="78" customHeight="1">
      <x:c r="A133" s="117" t="str">
        <x:v>T132</x:v>
      </x:c>
      <x:c r="B133" s="117" t="n">
        <x:v>10</x:v>
      </x:c>
      <x:c r="C133" s="118" t="n">
        <x:f>'CAMPAGNE'!F20</x:f>
        <x:v>46292</x:v>
      </x:c>
      <x:c r="D133" s="119" t="n">
        <x:v>0.75</x:v>
      </x:c>
      <x:c r="E133" s="120" t="n">
        <x:f>'CAMPAGNE'!J20</x:f>
        <x:v>46303</x:v>
      </x:c>
      <x:c r="F133" s="117" t="str">
        <x:f>CHOOSE(WEEKDAY(E133,2),"Lunedì","Martedì","Mercoledì","Giovedì","Venerdì","Sabato","Domenica")</x:f>
        <x:v>Giovedì</x:v>
      </x:c>
      <x:c r="G133" s="119" t="n">
        <x:v>0.8333333333333334</x:v>
      </x:c>
      <x:c r="H133" s="117" t="str">
        <x:v>Instagram</x:v>
      </x:c>
      <x:c r="I133" s="117" t="str">
        <x:v>Carosello</x:v>
      </x:c>
      <x:c r="J133" s="81" t="str">
        <x:v>Intrecci Sbagliati</x:v>
      </x:c>
      <x:c r="K133" s="117" t="str">
        <x:v>CH07</x:v>
      </x:c>
      <x:c r="L133" s="81" t="str">
        <x:v>Isabella</x:v>
      </x:c>
      <x:c r="M133" s="81" t="str">
        <x:v>Carica le tre immagini nell'ordine 01, 02, 03; incolla la caption e programma.</x:v>
      </x:c>
      <x:c r="N133" s="81" t="str">
        <x:v>Intrecci_Sbagliati_Social_Pack/03_CAROUSELS/CH07/CH07_01.jpg
Intrecci_Sbagliati_Social_Pack/03_CAROUSELS/CH07/CH07_02.jpg
Intrecci_Sbagliati_Social_Pack/03_CAROUSELS/CH07/CH07_03.jpg</x:v>
      </x:c>
      <x:c r="O133" s="81" t="str">
        <x:v>Ordine obbligatorio: 01 → 02 → 03</x:v>
      </x:c>
      <x:c r="P133" s="81" t="str">
        <x:f>'TESTI'!E20</x:f>
        <x:v>Tornare a Torino significa attraversare una frontiera senza cambiare Paese: gli stessi corridoi, ma una persona completamente diversa.
Isabella arriva durante un esame e porta entrambi fuori dal proprio ruolo. Il giorno dopo, davanti a un altro foglio, le formule non hanno più consistenza.
Ci sono notti che non ti fanno avanzare negli studi, ma ti fanno avanzare di anni dentro te stesso.
Scopri Intrecci Sbagliati dal link nel profilo.
#DiariDiPelle #IntrecciSbagliati #Isabella #Torino #RaccontiContemporanei</x:v>
      </x:c>
      <x:c r="Q133" s="81" t="str">
        <x:f>'TESTI'!J20</x:f>
        <x:v>https://diaridipelle.it/intrecci-sbagliati.html</x:v>
      </x:c>
      <x:c r="R133" s="81" t="str">
        <x:v>App Instagram</x:v>
      </x:c>
      <x:c r="S133" s="117" t="str">
        <x:v>Programmabile</x:v>
      </x:c>
      <x:c r="T133" s="117" t="str">
        <x:v>Da fare</x:v>
      </x:c>
      <x:c r="U133" s="81" t="str">
        <x:v>Verifica che nessuna slide sia tagliata. Il link è nel profilo.</x:v>
      </x:c>
      <x:c r="V133" s="81" t="str">
        <x:f>IF(AND(E133&lt;TODAY(),T133&lt;&gt;"Pubblicato"),"SÌ","")</x:f>
      </x:c>
    </x:row>
    <x:row r="134" ht="78" customHeight="1">
      <x:c r="A134" s="117" t="str">
        <x:v>T133</x:v>
      </x:c>
      <x:c r="B134" s="117" t="n">
        <x:v>10</x:v>
      </x:c>
      <x:c r="C134" s="118" t="n">
        <x:f>'CAMPAGNE'!F20</x:f>
        <x:v>46292</x:v>
      </x:c>
      <x:c r="D134" s="119" t="n">
        <x:v>0.75</x:v>
      </x:c>
      <x:c r="E134" s="120" t="n">
        <x:f>'CAMPAGNE'!J20</x:f>
        <x:v>46303</x:v>
      </x:c>
      <x:c r="F134" s="117" t="str">
        <x:f>CHOOSE(WEEKDAY(E134,2),"Lunedì","Martedì","Mercoledì","Giovedì","Venerdì","Sabato","Domenica")</x:f>
        <x:v>Giovedì</x:v>
      </x:c>
      <x:c r="G134" s="119" t="n">
        <x:v>0.8333333333333334</x:v>
      </x:c>
      <x:c r="H134" s="117" t="str">
        <x:v>Facebook</x:v>
      </x:c>
      <x:c r="I134" s="117" t="str">
        <x:v>Carosello</x:v>
      </x:c>
      <x:c r="J134" s="81" t="str">
        <x:v>Intrecci Sbagliati</x:v>
      </x:c>
      <x:c r="K134" s="117" t="str">
        <x:v>CH07</x:v>
      </x:c>
      <x:c r="L134" s="81" t="str">
        <x:v>Isabella</x:v>
      </x:c>
      <x:c r="M134" s="81" t="str">
        <x:v>Carica le tre immagini nell'ordine 01, 02, 03; incolla la caption e programma.</x:v>
      </x:c>
      <x:c r="N134" s="81" t="str">
        <x:v>Intrecci_Sbagliati_Social_Pack/03_CAROUSELS/CH07/CH07_01.jpg
Intrecci_Sbagliati_Social_Pack/03_CAROUSELS/CH07/CH07_02.jpg
Intrecci_Sbagliati_Social_Pack/03_CAROUSELS/CH07/CH07_03.jpg</x:v>
      </x:c>
      <x:c r="O134" s="81" t="str">
        <x:v>Ordine obbligatorio: 01 → 02 → 03</x:v>
      </x:c>
      <x:c r="P134" s="81" t="str">
        <x:f>'TESTI'!F20</x:f>
        <x:v>Tornare a Torino significa attraversare una frontiera senza cambiare Paese: gli stessi corridoi, ma una persona completamente diversa.
Isabella arriva durante un esame e porta entrambi fuori dal proprio ruolo. Il giorno dopo, davanti a un altro foglio, le formule non hanno più consistenza.
Ci sono notti che non ti fanno avanzare negli studi, ma ti fanno avanzare di anni dentro te stesso.
Scopri Intrecci Sbagliati dal link nel profilo.
🌐 https://diaridipelle.it/intrecci-sbagliati.html
📕 Cartaceo: https://www.amazon.it/dp/B0GX27ZJ1L
📱 Kindle: https://www.amazon.it/dp/B0GX2JR3F6
#DiariDiPelle #IntrecciSbagliati #Isabella #Torino #RaccontiContemporanei</x:v>
      </x:c>
      <x:c r="Q134" s="81" t="str">
        <x:f>'TESTI'!J20</x:f>
        <x:v>https://diaridipelle.it/intrecci-sbagliati.html</x:v>
      </x:c>
      <x:c r="R134" s="81" t="str">
        <x:v>Meta Business Suite</x:v>
      </x:c>
      <x:c r="S134" s="117" t="str">
        <x:v>Programmabile</x:v>
      </x:c>
      <x:c r="T134" s="117" t="str">
        <x:v>Da fare</x:v>
      </x:c>
      <x:c r="U134" s="81" t="str">
        <x:v>Controlla ordine delle immagini e collegamenti nella caption.</x:v>
      </x:c>
      <x:c r="V134" s="81" t="str">
        <x:f>IF(AND(E134&lt;TODAY(),T134&lt;&gt;"Pubblicato"),"SÌ","")</x:f>
      </x:c>
    </x:row>
    <x:row r="135" ht="78" customHeight="1">
      <x:c r="A135" s="117" t="str">
        <x:v>T134</x:v>
      </x:c>
      <x:c r="B135" s="117" t="n">
        <x:v>10</x:v>
      </x:c>
      <x:c r="C135" s="118" t="n">
        <x:f>'CAMPAGNE'!F21</x:f>
        <x:v>46292</x:v>
      </x:c>
      <x:c r="D135" s="119" t="n">
        <x:v>0.75</x:v>
      </x:c>
      <x:c r="E135" s="120" t="n">
        <x:f>'CAMPAGNE'!H21</x:f>
        <x:v>46304</x:v>
      </x:c>
      <x:c r="F135" s="117" t="str">
        <x:f>CHOOSE(WEEKDAY(E135,2),"Lunedì","Martedì","Mercoledì","Giovedì","Venerdì","Sabato","Domenica")</x:f>
        <x:v>Venerdì</x:v>
      </x:c>
      <x:c r="G135" s="119" t="n">
        <x:v>0.8333333333333334</x:v>
      </x:c>
      <x:c r="H135" s="117" t="str">
        <x:v>Instagram</x:v>
      </x:c>
      <x:c r="I135" s="117" t="str">
        <x:v>Reel</x:v>
      </x:c>
      <x:c r="J135" s="81" t="str">
        <x:v>Intrecci Sbagliati</x:v>
      </x:c>
      <x:c r="K135" s="117" t="str">
        <x:v>CH08</x:v>
      </x:c>
      <x:c r="L135" s="81" t="str">
        <x:v>Promesse mantenute</x:v>
      </x:c>
      <x:c r="M135" s="81" t="str">
        <x:v>Carica il video, imposta la copertina, incolla la caption e programma.</x:v>
      </x:c>
      <x:c r="N135" s="81" t="str">
        <x:v>Intrecci_Sbagliati_Social_Pack/01_REELS/CH08_reel.mp4</x:v>
      </x:c>
      <x:c r="O135" s="81" t="str">
        <x:v>Intrecci_Sbagliati_Social_Pack/02_REEL_COVERS/CH08_cover.jpg</x:v>
      </x:c>
      <x:c r="P135" s="81" t="str">
        <x:f>'TESTI'!E21</x:f>
        <x:v>Ella attraversa mezza Europa per raggiungerlo in Puglia.
Quello che doveva essere un ritorno, una festa e una rivincita diventa qualcosa di molto più scomodo: la prova che non sta più cercando soltanto notti e numeri. Un corpo preciso è diventato struttura, abitudine, mancanza.
«Promesse mantenute» è l'ottavo capitolo di Intrecci Sbagliati.
Continua la storia completa dal link nel profilo.
#DiariDiPelle #IntrecciSbagliati #Puglia #PromesseMantenute #LibriItaliani</x:v>
      </x:c>
      <x:c r="Q135" s="81" t="str">
        <x:f>'TESTI'!J21</x:f>
        <x:v>https://diaridipelle.it/intrecci-sbagliati.html</x:v>
      </x:c>
      <x:c r="R135" s="81" t="str">
        <x:v>App Instagram</x:v>
      </x:c>
      <x:c r="S135" s="117" t="str">
        <x:v>Programmabile</x:v>
      </x:c>
      <x:c r="T135" s="117" t="str">
        <x:v>Da fare</x:v>
      </x:c>
      <x:c r="U135" s="81" t="str">
        <x:v>Controlla audio, ritaglio 9:16 e anteprima copertina. Il link è nel profilo.</x:v>
      </x:c>
      <x:c r="V135" s="81" t="str">
        <x:f>IF(AND(E135&lt;TODAY(),T135&lt;&gt;"Pubblicato"),"SÌ","")</x:f>
      </x:c>
    </x:row>
    <x:row r="136" ht="78" customHeight="1">
      <x:c r="A136" s="117" t="str">
        <x:v>T135</x:v>
      </x:c>
      <x:c r="B136" s="117" t="n">
        <x:v>10</x:v>
      </x:c>
      <x:c r="C136" s="118" t="n">
        <x:f>'CAMPAGNE'!F21</x:f>
        <x:v>46292</x:v>
      </x:c>
      <x:c r="D136" s="119" t="n">
        <x:v>0.75</x:v>
      </x:c>
      <x:c r="E136" s="120" t="n">
        <x:f>'CAMPAGNE'!H21</x:f>
        <x:v>46304</x:v>
      </x:c>
      <x:c r="F136" s="117" t="str">
        <x:f>CHOOSE(WEEKDAY(E136,2),"Lunedì","Martedì","Mercoledì","Giovedì","Venerdì","Sabato","Domenica")</x:f>
        <x:v>Venerdì</x:v>
      </x:c>
      <x:c r="G136" s="119" t="n">
        <x:v>0.8333333333333334</x:v>
      </x:c>
      <x:c r="H136" s="117" t="str">
        <x:v>Facebook</x:v>
      </x:c>
      <x:c r="I136" s="117" t="str">
        <x:v>Reel</x:v>
      </x:c>
      <x:c r="J136" s="81" t="str">
        <x:v>Intrecci Sbagliati</x:v>
      </x:c>
      <x:c r="K136" s="117" t="str">
        <x:v>CH08</x:v>
      </x:c>
      <x:c r="L136" s="81" t="str">
        <x:v>Promesse mantenute</x:v>
      </x:c>
      <x:c r="M136" s="81" t="str">
        <x:v>Crea un Reel nella Pagina, carica video e copertina, incolla la caption e programma.</x:v>
      </x:c>
      <x:c r="N136" s="81" t="str">
        <x:v>Intrecci_Sbagliati_Social_Pack/01_REELS/CH08_reel.mp4</x:v>
      </x:c>
      <x:c r="O136" s="81" t="str">
        <x:v>Intrecci_Sbagliati_Social_Pack/02_REEL_COVERS/CH08_cover.jpg</x:v>
      </x:c>
      <x:c r="P136" s="81" t="str">
        <x:f>'TESTI'!F21</x:f>
        <x:v>Ella attraversa mezza Europa per raggiungerlo in Puglia.
Quello che doveva essere un ritorno, una festa e una rivincita diventa qualcosa di molto più scomodo: la prova che non sta più cercando soltanto notti e numeri. Un corpo preciso è diventato struttura, abitudine, mancanza.
«Promesse mantenute» è l'ottavo capitolo di Intrecci Sbagliati.
Continua la storia completa dal link nel profilo.
🌐 https://diaridipelle.it/intrecci-sbagliati.html
📕 Cartaceo: https://www.amazon.it/dp/B0GX27ZJ1L
📱 Kindle: https://www.amazon.it/dp/B0GX2JR3F6
#DiariDiPelle #IntrecciSbagliati #Puglia #PromesseMantenute #LibriItaliani</x:v>
      </x:c>
      <x:c r="Q136" s="81" t="str">
        <x:f>'TESTI'!J21</x:f>
        <x:v>https://diaridipelle.it/intrecci-sbagliati.html</x:v>
      </x:c>
      <x:c r="R136" s="81" t="str">
        <x:v>Meta Business Suite</x:v>
      </x:c>
      <x:c r="S136" s="117" t="str">
        <x:v>Programmabile</x:v>
      </x:c>
      <x:c r="T136" s="117" t="str">
        <x:v>Da fare</x:v>
      </x:c>
      <x:c r="U136" s="81" t="str">
        <x:v>Pubblica sulla Pagina Facebook. I collegamenti nella caption sono cliccabili.</x:v>
      </x:c>
      <x:c r="V136" s="81" t="str">
        <x:f>IF(AND(E136&lt;TODAY(),T136&lt;&gt;"Pubblicato"),"SÌ","")</x:f>
      </x:c>
    </x:row>
    <x:row r="137" ht="78" customHeight="1">
      <x:c r="A137" s="117" t="str">
        <x:v>T136</x:v>
      </x:c>
      <x:c r="B137" s="117" t="n">
        <x:v>10</x:v>
      </x:c>
      <x:c r="C137" s="118" t="n">
        <x:f>'CAMPAGNE'!G21</x:f>
        <x:v>46299</x:v>
      </x:c>
      <x:c r="D137" s="119" t="n">
        <x:v>0.75</x:v>
      </x:c>
      <x:c r="E137" s="120" t="n">
        <x:f>'CAMPAGNE'!H21</x:f>
        <x:v>46304</x:v>
      </x:c>
      <x:c r="F137" s="117" t="str">
        <x:f>CHOOSE(WEEKDAY(E137,2),"Lunedì","Martedì","Mercoledì","Giovedì","Venerdì","Sabato","Domenica")</x:f>
        <x:v>Venerdì</x:v>
      </x:c>
      <x:c r="G137" s="119" t="n">
        <x:v>0.8333333333333334</x:v>
      </x:c>
      <x:c r="H137" s="117" t="str">
        <x:v>TikTok</x:v>
      </x:c>
      <x:c r="I137" s="117" t="str">
        <x:v>Video</x:v>
      </x:c>
      <x:c r="J137" s="81" t="str">
        <x:v>Intrecci Sbagliati</x:v>
      </x:c>
      <x:c r="K137" s="117" t="str">
        <x:v>CH08</x:v>
      </x:c>
      <x:c r="L137" s="81" t="str">
        <x:v>Promesse mantenute</x:v>
      </x:c>
      <x:c r="M137" s="81" t="str">
        <x:v>Carica il video in TikTok Studio, scegli la copertina, incolla la caption breve e programma.</x:v>
      </x:c>
      <x:c r="N137" s="81" t="str">
        <x:v>Intrecci_Sbagliati_Social_Pack/01_REELS/CH08_reel.mp4</x:v>
      </x:c>
      <x:c r="O137" s="81" t="str">
        <x:v>Intrecci_Sbagliati_Social_Pack/02_REEL_COVERS/CH08_cover.jpg</x:v>
      </x:c>
      <x:c r="P137" s="81" t="str">
        <x:f>'TESTI'!G21</x:f>
        <x:v>Ella attraversa mezza Europa per raggiungerlo in Puglia.
«Promesse mantenute» da Intrecci Sbagliati.
Scopri il libro dal link in bio.
#DiariDiPelle #IntrecciSbagliati #BookTokItalia #LibriTikTok</x:v>
      </x:c>
      <x:c r="Q137" s="81" t="str">
        <x:f>'TESTI'!J21</x:f>
        <x:v>https://diaridipelle.it/intrecci-sbagliati.html</x:v>
      </x:c>
      <x:c r="R137" s="81" t="str">
        <x:v>TikTok Studio</x:v>
      </x:c>
      <x:c r="S137" s="117" t="str">
        <x:v>Programmabile entro 10 giorni</x:v>
      </x:c>
      <x:c r="T137" s="117" t="str">
        <x:v>Da fare</x:v>
      </x:c>
      <x:c r="U137" s="81" t="str">
        <x:v>Non aggiungere watermark. Controlla anteprima verticale e audio.</x:v>
      </x:c>
      <x:c r="V137" s="81" t="str">
        <x:f>IF(AND(E137&lt;TODAY(),T137&lt;&gt;"Pubblicato"),"SÌ","")</x:f>
      </x:c>
    </x:row>
    <x:row r="138" ht="78" customHeight="1">
      <x:c r="A138" s="117" t="str">
        <x:v>T137</x:v>
      </x:c>
      <x:c r="B138" s="117" t="n">
        <x:v>10</x:v>
      </x:c>
      <x:c r="C138" s="118" t="n">
        <x:f>'CAMPAGNE'!I21</x:f>
        <x:v>46305</x:v>
      </x:c>
      <x:c r="D138" s="119" t="n">
        <x:v>0.4965277777777778</x:v>
      </x:c>
      <x:c r="E138" s="120" t="n">
        <x:f>'CAMPAGNE'!I21</x:f>
        <x:v>46305</x:v>
      </x:c>
      <x:c r="F138" s="117" t="str">
        <x:f>CHOOSE(WEEKDAY(E138,2),"Lunedì","Martedì","Mercoledì","Giovedì","Venerdì","Sabato","Domenica")</x:f>
        <x:v>Sabato</x:v>
      </x:c>
      <x:c r="G138" s="119" t="n">
        <x:v>0.5</x:v>
      </x:c>
      <x:c r="H138" s="117" t="str">
        <x:v>Instagram</x:v>
      </x:c>
      <x:c r="I138" s="117" t="str">
        <x:v>Storia</x:v>
      </x:c>
      <x:c r="J138" s="81" t="str">
        <x:v>Intrecci Sbagliati</x:v>
      </x:c>
      <x:c r="K138" s="117" t="str">
        <x:v>CH08</x:v>
      </x:c>
      <x:c r="L138" s="81" t="str">
        <x:v>Promesse mantenute</x:v>
      </x:c>
      <x:c r="M138" s="81" t="str">
        <x:v>Carica l'immagine, aggiungi l'adesivo Link e pubblica.</x:v>
      </x:c>
      <x:c r="N138" s="81" t="str">
        <x:v>Intrecci_Sbagliati_Social_Pack/04_STORIES/CH08_story.jpg</x:v>
      </x:c>
      <x:c r="O138" s="81" t="str">
        <x:v>Intrecci_Sbagliati_Social_Pack/05_CAPTIONS/CH08_story_link.txt</x:v>
      </x:c>
      <x:c r="P138" s="81" t="str">
        <x:f>'TESTI'!N21</x:f>
        <x:v>Tocca SCOPRI IL LIBRO e scegli cartaceo o Kindle.</x:v>
      </x:c>
      <x:c r="Q138" s="81" t="str">
        <x:f>'TESTI'!H21</x:f>
        <x:v>https://diaridipelle.it/intrecci-sbagliati.html?utm_source=instagram&amp;utm_medium=story&amp;utm_campaign=intrecci_sbagliati&amp;utm_content=ch08</x:v>
      </x:c>
      <x:c r="R138" s="81" t="str">
        <x:v>App Instagram</x:v>
      </x:c>
      <x:c r="S138" s="117" t="str">
        <x:v>Manuale</x:v>
      </x:c>
      <x:c r="T138" s="117" t="str">
        <x:v>Da fare</x:v>
      </x:c>
      <x:c r="U138" s="81" t="str">
        <x:v>La data lavoro è lo stesso giorno, 5 minuti prima. Testo adesivo: SCOPRI IL LIBRO.</x:v>
      </x:c>
      <x:c r="V138" s="81" t="str">
        <x:f>IF(AND(E138&lt;TODAY(),T138&lt;&gt;"Pubblicato"),"SÌ","")</x:f>
      </x:c>
    </x:row>
    <x:row r="139" ht="78" customHeight="1">
      <x:c r="A139" s="117" t="str">
        <x:v>T138</x:v>
      </x:c>
      <x:c r="B139" s="117" t="n">
        <x:v>10</x:v>
      </x:c>
      <x:c r="C139" s="118" t="n">
        <x:f>'CAMPAGNE'!F21</x:f>
        <x:v>46292</x:v>
      </x:c>
      <x:c r="D139" s="119" t="n">
        <x:v>0.75</x:v>
      </x:c>
      <x:c r="E139" s="120" t="n">
        <x:f>'CAMPAGNE'!I21</x:f>
        <x:v>46305</x:v>
      </x:c>
      <x:c r="F139" s="117" t="str">
        <x:f>CHOOSE(WEEKDAY(E139,2),"Lunedì","Martedì","Mercoledì","Giovedì","Venerdì","Sabato","Domenica")</x:f>
        <x:v>Sabato</x:v>
      </x:c>
      <x:c r="G139" s="119" t="n">
        <x:v>0.5</x:v>
      </x:c>
      <x:c r="H139" s="117" t="str">
        <x:v>Facebook</x:v>
      </x:c>
      <x:c r="I139" s="117" t="str">
        <x:v>Storia</x:v>
      </x:c>
      <x:c r="J139" s="81" t="str">
        <x:v>Intrecci Sbagliati</x:v>
      </x:c>
      <x:c r="K139" s="117" t="str">
        <x:v>CH08</x:v>
      </x:c>
      <x:c r="L139" s="81" t="str">
        <x:v>Promesse mantenute</x:v>
      </x:c>
      <x:c r="M139" s="81" t="str">
        <x:v>Crea una Storia della Pagina, carica l'immagine, aggiungi il link e programma.</x:v>
      </x:c>
      <x:c r="N139" s="81" t="str">
        <x:v>Intrecci_Sbagliati_Social_Pack/04_STORIES/CH08_story.jpg</x:v>
      </x:c>
      <x:c r="O139" s="81" t="str">
        <x:v>Intrecci_Sbagliati_Social_Pack/05_CAPTIONS/CH08_story_link.txt</x:v>
      </x:c>
      <x:c r="P139" s="81" t="str">
        <x:f>'TESTI'!N21</x:f>
        <x:v>Tocca SCOPRI IL LIBRO e scegli cartaceo o Kindle.</x:v>
      </x:c>
      <x:c r="Q139" s="81" t="str">
        <x:f>'TESTI'!I21</x:f>
        <x:v>https://diaridipelle.it/intrecci-sbagliati.html?utm_source=facebook&amp;utm_medium=story&amp;utm_campaign=intrecci_sbagliati&amp;utm_content=ch08</x:v>
      </x:c>
      <x:c r="R139" s="81" t="str">
        <x:v>Meta Business Suite</x:v>
      </x:c>
      <x:c r="S139" s="117" t="str">
        <x:v>Programmabile</x:v>
      </x:c>
      <x:c r="T139" s="117" t="str">
        <x:v>Da fare</x:v>
      </x:c>
      <x:c r="U139" s="81" t="str">
        <x:v>Controlla che la destinazione sia la Pagina Facebook.</x:v>
      </x:c>
      <x:c r="V139" s="81" t="str">
        <x:f>IF(AND(E139&lt;TODAY(),T139&lt;&gt;"Pubblicato"),"SÌ","")</x:f>
      </x:c>
    </x:row>
    <x:row r="140" ht="78" customHeight="1">
      <x:c r="A140" s="117" t="str">
        <x:v>T139</x:v>
      </x:c>
      <x:c r="B140" s="117" t="n">
        <x:v>10</x:v>
      </x:c>
      <x:c r="C140" s="118" t="n">
        <x:f>'CAMPAGNE'!F21</x:f>
        <x:v>46292</x:v>
      </x:c>
      <x:c r="D140" s="119" t="n">
        <x:v>0.75</x:v>
      </x:c>
      <x:c r="E140" s="120" t="n">
        <x:f>'CAMPAGNE'!J21</x:f>
        <x:v>46306</x:v>
      </x:c>
      <x:c r="F140" s="117" t="str">
        <x:f>CHOOSE(WEEKDAY(E140,2),"Lunedì","Martedì","Mercoledì","Giovedì","Venerdì","Sabato","Domenica")</x:f>
        <x:v>Domenica</x:v>
      </x:c>
      <x:c r="G140" s="119" t="n">
        <x:v>0.4583333333333333</x:v>
      </x:c>
      <x:c r="H140" s="117" t="str">
        <x:v>Instagram</x:v>
      </x:c>
      <x:c r="I140" s="117" t="str">
        <x:v>Carosello</x:v>
      </x:c>
      <x:c r="J140" s="81" t="str">
        <x:v>Intrecci Sbagliati</x:v>
      </x:c>
      <x:c r="K140" s="117" t="str">
        <x:v>CH08</x:v>
      </x:c>
      <x:c r="L140" s="81" t="str">
        <x:v>Promesse mantenute</x:v>
      </x:c>
      <x:c r="M140" s="81" t="str">
        <x:v>Carica le tre immagini nell'ordine 01, 02, 03; incolla la caption e programma.</x:v>
      </x:c>
      <x:c r="N140" s="81" t="str">
        <x:v>Intrecci_Sbagliati_Social_Pack/03_CAROUSELS/CH08/CH08_01.jpg
Intrecci_Sbagliati_Social_Pack/03_CAROUSELS/CH08/CH08_02.jpg
Intrecci_Sbagliati_Social_Pack/03_CAROUSELS/CH08/CH08_03.jpg</x:v>
      </x:c>
      <x:c r="O140" s="81" t="str">
        <x:v>Ordine obbligatorio: 01 → 02 → 03</x:v>
      </x:c>
      <x:c r="P140" s="81" t="str">
        <x:f>'TESTI'!E21</x:f>
        <x:v>Ella attraversa mezza Europa per raggiungerlo in Puglia.
Quello che doveva essere un ritorno, una festa e una rivincita diventa qualcosa di molto più scomodo: la prova che non sta più cercando soltanto notti e numeri. Un corpo preciso è diventato struttura, abitudine, mancanza.
«Promesse mantenute» è l'ottavo capitolo di Intrecci Sbagliati.
Continua la storia completa dal link nel profilo.
#DiariDiPelle #IntrecciSbagliati #Puglia #PromesseMantenute #LibriItaliani</x:v>
      </x:c>
      <x:c r="Q140" s="81" t="str">
        <x:f>'TESTI'!J21</x:f>
        <x:v>https://diaridipelle.it/intrecci-sbagliati.html</x:v>
      </x:c>
      <x:c r="R140" s="81" t="str">
        <x:v>App Instagram</x:v>
      </x:c>
      <x:c r="S140" s="117" t="str">
        <x:v>Programmabile</x:v>
      </x:c>
      <x:c r="T140" s="117" t="str">
        <x:v>Da fare</x:v>
      </x:c>
      <x:c r="U140" s="81" t="str">
        <x:v>Verifica che nessuna slide sia tagliata. Il link è nel profilo.</x:v>
      </x:c>
      <x:c r="V140" s="81" t="str">
        <x:f>IF(AND(E140&lt;TODAY(),T140&lt;&gt;"Pubblicato"),"SÌ","")</x:f>
      </x:c>
    </x:row>
    <x:row r="141" ht="78" customHeight="1">
      <x:c r="A141" s="117" t="str">
        <x:v>T140</x:v>
      </x:c>
      <x:c r="B141" s="117" t="n">
        <x:v>10</x:v>
      </x:c>
      <x:c r="C141" s="118" t="n">
        <x:f>'CAMPAGNE'!F21</x:f>
        <x:v>46292</x:v>
      </x:c>
      <x:c r="D141" s="119" t="n">
        <x:v>0.75</x:v>
      </x:c>
      <x:c r="E141" s="120" t="n">
        <x:f>'CAMPAGNE'!J21</x:f>
        <x:v>46306</x:v>
      </x:c>
      <x:c r="F141" s="117" t="str">
        <x:f>CHOOSE(WEEKDAY(E141,2),"Lunedì","Martedì","Mercoledì","Giovedì","Venerdì","Sabato","Domenica")</x:f>
        <x:v>Domenica</x:v>
      </x:c>
      <x:c r="G141" s="119" t="n">
        <x:v>0.4583333333333333</x:v>
      </x:c>
      <x:c r="H141" s="117" t="str">
        <x:v>Facebook</x:v>
      </x:c>
      <x:c r="I141" s="117" t="str">
        <x:v>Carosello</x:v>
      </x:c>
      <x:c r="J141" s="81" t="str">
        <x:v>Intrecci Sbagliati</x:v>
      </x:c>
      <x:c r="K141" s="117" t="str">
        <x:v>CH08</x:v>
      </x:c>
      <x:c r="L141" s="81" t="str">
        <x:v>Promesse mantenute</x:v>
      </x:c>
      <x:c r="M141" s="81" t="str">
        <x:v>Carica le tre immagini nell'ordine 01, 02, 03; incolla la caption e programma.</x:v>
      </x:c>
      <x:c r="N141" s="81" t="str">
        <x:v>Intrecci_Sbagliati_Social_Pack/03_CAROUSELS/CH08/CH08_01.jpg
Intrecci_Sbagliati_Social_Pack/03_CAROUSELS/CH08/CH08_02.jpg
Intrecci_Sbagliati_Social_Pack/03_CAROUSELS/CH08/CH08_03.jpg</x:v>
      </x:c>
      <x:c r="O141" s="81" t="str">
        <x:v>Ordine obbligatorio: 01 → 02 → 03</x:v>
      </x:c>
      <x:c r="P141" s="81" t="str">
        <x:f>'TESTI'!F21</x:f>
        <x:v>Ella attraversa mezza Europa per raggiungerlo in Puglia.
Quello che doveva essere un ritorno, una festa e una rivincita diventa qualcosa di molto più scomodo: la prova che non sta più cercando soltanto notti e numeri. Un corpo preciso è diventato struttura, abitudine, mancanza.
«Promesse mantenute» è l'ottavo capitolo di Intrecci Sbagliati.
Continua la storia completa dal link nel profilo.
🌐 https://diaridipelle.it/intrecci-sbagliati.html
📕 Cartaceo: https://www.amazon.it/dp/B0GX27ZJ1L
📱 Kindle: https://www.amazon.it/dp/B0GX2JR3F6
#DiariDiPelle #IntrecciSbagliati #Puglia #PromesseMantenute #LibriItaliani</x:v>
      </x:c>
      <x:c r="Q141" s="81" t="str">
        <x:f>'TESTI'!J21</x:f>
        <x:v>https://diaridipelle.it/intrecci-sbagliati.html</x:v>
      </x:c>
      <x:c r="R141" s="81" t="str">
        <x:v>Meta Business Suite</x:v>
      </x:c>
      <x:c r="S141" s="117" t="str">
        <x:v>Programmabile</x:v>
      </x:c>
      <x:c r="T141" s="117" t="str">
        <x:v>Da fare</x:v>
      </x:c>
      <x:c r="U141" s="81" t="str">
        <x:v>Controlla ordine delle immagini e collegamenti nella caption.</x:v>
      </x:c>
      <x:c r="V141" s="81" t="str">
        <x:f>IF(AND(E141&lt;TODAY(),T141&lt;&gt;"Pubblicato"),"SÌ","")</x:f>
      </x:c>
    </x:row>
    <x:row r="142" ht="78" customHeight="1">
      <x:c r="A142" s="117" t="str">
        <x:v>T141</x:v>
      </x:c>
      <x:c r="B142" s="117" t="n">
        <x:v>11</x:v>
      </x:c>
      <x:c r="C142" s="118" t="n">
        <x:f>'CAMPAGNE'!F22</x:f>
        <x:v>46292</x:v>
      </x:c>
      <x:c r="D142" s="119" t="n">
        <x:v>0.75</x:v>
      </x:c>
      <x:c r="E142" s="120" t="n">
        <x:f>'CAMPAGNE'!H22</x:f>
        <x:v>46308</x:v>
      </x:c>
      <x:c r="F142" s="117" t="str">
        <x:f>CHOOSE(WEEKDAY(E142,2),"Lunedì","Martedì","Mercoledì","Giovedì","Venerdì","Sabato","Domenica")</x:f>
        <x:v>Martedì</x:v>
      </x:c>
      <x:c r="G142" s="119" t="n">
        <x:v>0.8333333333333334</x:v>
      </x:c>
      <x:c r="H142" s="117" t="str">
        <x:v>Instagram</x:v>
      </x:c>
      <x:c r="I142" s="117" t="str">
        <x:v>Reel</x:v>
      </x:c>
      <x:c r="J142" s="81" t="str">
        <x:v>Intrecci Sbagliati</x:v>
      </x:c>
      <x:c r="K142" s="117" t="str">
        <x:v>CH09</x:v>
      </x:c>
      <x:c r="L142" s="81" t="str">
        <x:v>Virginia</x:v>
      </x:c>
      <x:c r="M142" s="81" t="str">
        <x:v>Carica il video, imposta la copertina, incolla la caption e programma.</x:v>
      </x:c>
      <x:c r="N142" s="81" t="str">
        <x:v>Intrecci_Sbagliati_Social_Pack/01_REELS/CH09_reel.mp4</x:v>
      </x:c>
      <x:c r="O142" s="81" t="str">
        <x:v>Intrecci_Sbagliati_Social_Pack/02_REEL_COVERS/CH09_cover.jpg</x:v>
      </x:c>
      <x:c r="P142" s="81" t="str">
        <x:f>'TESTI'!E22</x:f>
        <x:v>La casa nuova sembra un castello, ma amplifica ogni litigio. Barcellona diventa di nuovo una fuga.
Virginia rappresenta carne, libertà e guerra; Ella ordine, promessa e distanza. Tenere entrambe le parti senza pagare un prezzo è impossibile.
Alcune notti riescono a salvarti nello stesso momento in cui rovinano qualcosa che credevi stabile.
Virginia è il nono capitolo di Intrecci Sbagliati. Scoprilo dal link nel profilo.
#DiariDiPelle #IntrecciSbagliati #Virginia #Barcellona #NarrativaPsicologica</x:v>
      </x:c>
      <x:c r="Q142" s="81" t="str">
        <x:f>'TESTI'!J22</x:f>
        <x:v>https://diaridipelle.it/intrecci-sbagliati.html</x:v>
      </x:c>
      <x:c r="R142" s="81" t="str">
        <x:v>App Instagram</x:v>
      </x:c>
      <x:c r="S142" s="117" t="str">
        <x:v>Programmabile</x:v>
      </x:c>
      <x:c r="T142" s="117" t="str">
        <x:v>Da fare</x:v>
      </x:c>
      <x:c r="U142" s="81" t="str">
        <x:v>Controlla audio, ritaglio 9:16 e anteprima copertina. Il link è nel profilo.</x:v>
      </x:c>
      <x:c r="V142" s="81" t="str">
        <x:f>IF(AND(E142&lt;TODAY(),T142&lt;&gt;"Pubblicato"),"SÌ","")</x:f>
      </x:c>
    </x:row>
    <x:row r="143" ht="78" customHeight="1">
      <x:c r="A143" s="117" t="str">
        <x:v>T142</x:v>
      </x:c>
      <x:c r="B143" s="117" t="n">
        <x:v>11</x:v>
      </x:c>
      <x:c r="C143" s="118" t="n">
        <x:f>'CAMPAGNE'!F22</x:f>
        <x:v>46292</x:v>
      </x:c>
      <x:c r="D143" s="119" t="n">
        <x:v>0.75</x:v>
      </x:c>
      <x:c r="E143" s="120" t="n">
        <x:f>'CAMPAGNE'!H22</x:f>
        <x:v>46308</x:v>
      </x:c>
      <x:c r="F143" s="117" t="str">
        <x:f>CHOOSE(WEEKDAY(E143,2),"Lunedì","Martedì","Mercoledì","Giovedì","Venerdì","Sabato","Domenica")</x:f>
        <x:v>Martedì</x:v>
      </x:c>
      <x:c r="G143" s="119" t="n">
        <x:v>0.8333333333333334</x:v>
      </x:c>
      <x:c r="H143" s="117" t="str">
        <x:v>Facebook</x:v>
      </x:c>
      <x:c r="I143" s="117" t="str">
        <x:v>Reel</x:v>
      </x:c>
      <x:c r="J143" s="81" t="str">
        <x:v>Intrecci Sbagliati</x:v>
      </x:c>
      <x:c r="K143" s="117" t="str">
        <x:v>CH09</x:v>
      </x:c>
      <x:c r="L143" s="81" t="str">
        <x:v>Virginia</x:v>
      </x:c>
      <x:c r="M143" s="81" t="str">
        <x:v>Crea un Reel nella Pagina, carica video e copertina, incolla la caption e programma.</x:v>
      </x:c>
      <x:c r="N143" s="81" t="str">
        <x:v>Intrecci_Sbagliati_Social_Pack/01_REELS/CH09_reel.mp4</x:v>
      </x:c>
      <x:c r="O143" s="81" t="str">
        <x:v>Intrecci_Sbagliati_Social_Pack/02_REEL_COVERS/CH09_cover.jpg</x:v>
      </x:c>
      <x:c r="P143" s="81" t="str">
        <x:f>'TESTI'!F22</x:f>
        <x:v>La casa nuova sembra un castello, ma amplifica ogni litigio. Barcellona diventa di nuovo una fuga.
Virginia rappresenta carne, libertà e guerra; Ella ordine, promessa e distanza. Tenere entrambe le parti senza pagare un prezzo è impossibile.
Alcune notti riescono a salvarti nello stesso momento in cui rovinano qualcosa che credevi stabile.
Virginia è il nono capitolo di Intrecci Sbagliati. Scoprilo dal link nel profilo.
🌐 https://diaridipelle.it/intrecci-sbagliati.html
📕 Cartaceo: https://www.amazon.it/dp/B0GX27ZJ1L
📱 Kindle: https://www.amazon.it/dp/B0GX2JR3F6
#DiariDiPelle #IntrecciSbagliati #Virginia #Barcellona #NarrativaPsicologica</x:v>
      </x:c>
      <x:c r="Q143" s="81" t="str">
        <x:f>'TESTI'!J22</x:f>
        <x:v>https://diaridipelle.it/intrecci-sbagliati.html</x:v>
      </x:c>
      <x:c r="R143" s="81" t="str">
        <x:v>Meta Business Suite</x:v>
      </x:c>
      <x:c r="S143" s="117" t="str">
        <x:v>Programmabile</x:v>
      </x:c>
      <x:c r="T143" s="117" t="str">
        <x:v>Da fare</x:v>
      </x:c>
      <x:c r="U143" s="81" t="str">
        <x:v>Pubblica sulla Pagina Facebook. I collegamenti nella caption sono cliccabili.</x:v>
      </x:c>
      <x:c r="V143" s="81" t="str">
        <x:f>IF(AND(E143&lt;TODAY(),T143&lt;&gt;"Pubblicato"),"SÌ","")</x:f>
      </x:c>
    </x:row>
    <x:row r="144" ht="78" customHeight="1">
      <x:c r="A144" s="117" t="str">
        <x:v>T143</x:v>
      </x:c>
      <x:c r="B144" s="117" t="n">
        <x:v>11</x:v>
      </x:c>
      <x:c r="C144" s="118" t="n">
        <x:f>'CAMPAGNE'!G22</x:f>
        <x:v>46306</x:v>
      </x:c>
      <x:c r="D144" s="119" t="n">
        <x:v>0.75</x:v>
      </x:c>
      <x:c r="E144" s="120" t="n">
        <x:f>'CAMPAGNE'!H22</x:f>
        <x:v>46308</x:v>
      </x:c>
      <x:c r="F144" s="117" t="str">
        <x:f>CHOOSE(WEEKDAY(E144,2),"Lunedì","Martedì","Mercoledì","Giovedì","Venerdì","Sabato","Domenica")</x:f>
        <x:v>Martedì</x:v>
      </x:c>
      <x:c r="G144" s="119" t="n">
        <x:v>0.8333333333333334</x:v>
      </x:c>
      <x:c r="H144" s="117" t="str">
        <x:v>TikTok</x:v>
      </x:c>
      <x:c r="I144" s="117" t="str">
        <x:v>Video</x:v>
      </x:c>
      <x:c r="J144" s="81" t="str">
        <x:v>Intrecci Sbagliati</x:v>
      </x:c>
      <x:c r="K144" s="117" t="str">
        <x:v>CH09</x:v>
      </x:c>
      <x:c r="L144" s="81" t="str">
        <x:v>Virginia</x:v>
      </x:c>
      <x:c r="M144" s="81" t="str">
        <x:v>Carica il video in TikTok Studio, scegli la copertina, incolla la caption breve e programma.</x:v>
      </x:c>
      <x:c r="N144" s="81" t="str">
        <x:v>Intrecci_Sbagliati_Social_Pack/01_REELS/CH09_reel.mp4</x:v>
      </x:c>
      <x:c r="O144" s="81" t="str">
        <x:v>Intrecci_Sbagliati_Social_Pack/02_REEL_COVERS/CH09_cover.jpg</x:v>
      </x:c>
      <x:c r="P144" s="81" t="str">
        <x:f>'TESTI'!G22</x:f>
        <x:v>La casa nuova sembra un castello, ma amplifica ogni litigio. Barcellona diventa di nuovo una fuga.
«Virginia» da Intrecci Sbagliati.
Scopri il libro dal link in bio.
#DiariDiPelle #IntrecciSbagliati #BookTokItalia #LibriTikTok</x:v>
      </x:c>
      <x:c r="Q144" s="81" t="str">
        <x:f>'TESTI'!J22</x:f>
        <x:v>https://diaridipelle.it/intrecci-sbagliati.html</x:v>
      </x:c>
      <x:c r="R144" s="81" t="str">
        <x:v>TikTok Studio</x:v>
      </x:c>
      <x:c r="S144" s="117" t="str">
        <x:v>Programmabile entro 10 giorni</x:v>
      </x:c>
      <x:c r="T144" s="117" t="str">
        <x:v>Da fare</x:v>
      </x:c>
      <x:c r="U144" s="81" t="str">
        <x:v>Non aggiungere watermark. Controlla anteprima verticale e audio.</x:v>
      </x:c>
      <x:c r="V144" s="81" t="str">
        <x:f>IF(AND(E144&lt;TODAY(),T144&lt;&gt;"Pubblicato"),"SÌ","")</x:f>
      </x:c>
    </x:row>
    <x:row r="145" ht="78" customHeight="1">
      <x:c r="A145" s="117" t="str">
        <x:v>T144</x:v>
      </x:c>
      <x:c r="B145" s="117" t="n">
        <x:v>11</x:v>
      </x:c>
      <x:c r="C145" s="118" t="n">
        <x:f>'CAMPAGNE'!I22</x:f>
        <x:v>46309</x:v>
      </x:c>
      <x:c r="D145" s="119" t="n">
        <x:v>0.4965277777777778</x:v>
      </x:c>
      <x:c r="E145" s="120" t="n">
        <x:f>'CAMPAGNE'!I22</x:f>
        <x:v>46309</x:v>
      </x:c>
      <x:c r="F145" s="117" t="str">
        <x:f>CHOOSE(WEEKDAY(E145,2),"Lunedì","Martedì","Mercoledì","Giovedì","Venerdì","Sabato","Domenica")</x:f>
        <x:v>Mercoledì</x:v>
      </x:c>
      <x:c r="G145" s="119" t="n">
        <x:v>0.5</x:v>
      </x:c>
      <x:c r="H145" s="117" t="str">
        <x:v>Instagram</x:v>
      </x:c>
      <x:c r="I145" s="117" t="str">
        <x:v>Storia</x:v>
      </x:c>
      <x:c r="J145" s="81" t="str">
        <x:v>Intrecci Sbagliati</x:v>
      </x:c>
      <x:c r="K145" s="117" t="str">
        <x:v>CH09</x:v>
      </x:c>
      <x:c r="L145" s="81" t="str">
        <x:v>Virginia</x:v>
      </x:c>
      <x:c r="M145" s="81" t="str">
        <x:v>Carica l'immagine, aggiungi l'adesivo Link e pubblica.</x:v>
      </x:c>
      <x:c r="N145" s="81" t="str">
        <x:v>Intrecci_Sbagliati_Social_Pack/04_STORIES/CH09_story.jpg</x:v>
      </x:c>
      <x:c r="O145" s="81" t="str">
        <x:v>Intrecci_Sbagliati_Social_Pack/05_CAPTIONS/CH09_story_link.txt</x:v>
      </x:c>
      <x:c r="P145" s="81" t="str">
        <x:f>'TESTI'!N22</x:f>
        <x:v>Tocca SCOPRI IL LIBRO e scegli cartaceo o Kindle.</x:v>
      </x:c>
      <x:c r="Q145" s="81" t="str">
        <x:f>'TESTI'!H22</x:f>
        <x:v>https://diaridipelle.it/intrecci-sbagliati.html?utm_source=instagram&amp;utm_medium=story&amp;utm_campaign=intrecci_sbagliati&amp;utm_content=ch09</x:v>
      </x:c>
      <x:c r="R145" s="81" t="str">
        <x:v>App Instagram</x:v>
      </x:c>
      <x:c r="S145" s="117" t="str">
        <x:v>Manuale</x:v>
      </x:c>
      <x:c r="T145" s="117" t="str">
        <x:v>Da fare</x:v>
      </x:c>
      <x:c r="U145" s="81" t="str">
        <x:v>La data lavoro è lo stesso giorno, 5 minuti prima. Testo adesivo: SCOPRI IL LIBRO.</x:v>
      </x:c>
      <x:c r="V145" s="81" t="str">
        <x:f>IF(AND(E145&lt;TODAY(),T145&lt;&gt;"Pubblicato"),"SÌ","")</x:f>
      </x:c>
    </x:row>
    <x:row r="146" ht="78" customHeight="1">
      <x:c r="A146" s="117" t="str">
        <x:v>T145</x:v>
      </x:c>
      <x:c r="B146" s="117" t="n">
        <x:v>11</x:v>
      </x:c>
      <x:c r="C146" s="118" t="n">
        <x:f>'CAMPAGNE'!F22</x:f>
        <x:v>46292</x:v>
      </x:c>
      <x:c r="D146" s="119" t="n">
        <x:v>0.75</x:v>
      </x:c>
      <x:c r="E146" s="120" t="n">
        <x:f>'CAMPAGNE'!I22</x:f>
        <x:v>46309</x:v>
      </x:c>
      <x:c r="F146" s="117" t="str">
        <x:f>CHOOSE(WEEKDAY(E146,2),"Lunedì","Martedì","Mercoledì","Giovedì","Venerdì","Sabato","Domenica")</x:f>
        <x:v>Mercoledì</x:v>
      </x:c>
      <x:c r="G146" s="119" t="n">
        <x:v>0.5</x:v>
      </x:c>
      <x:c r="H146" s="117" t="str">
        <x:v>Facebook</x:v>
      </x:c>
      <x:c r="I146" s="117" t="str">
        <x:v>Storia</x:v>
      </x:c>
      <x:c r="J146" s="81" t="str">
        <x:v>Intrecci Sbagliati</x:v>
      </x:c>
      <x:c r="K146" s="117" t="str">
        <x:v>CH09</x:v>
      </x:c>
      <x:c r="L146" s="81" t="str">
        <x:v>Virginia</x:v>
      </x:c>
      <x:c r="M146" s="81" t="str">
        <x:v>Crea una Storia della Pagina, carica l'immagine, aggiungi il link e programma.</x:v>
      </x:c>
      <x:c r="N146" s="81" t="str">
        <x:v>Intrecci_Sbagliati_Social_Pack/04_STORIES/CH09_story.jpg</x:v>
      </x:c>
      <x:c r="O146" s="81" t="str">
        <x:v>Intrecci_Sbagliati_Social_Pack/05_CAPTIONS/CH09_story_link.txt</x:v>
      </x:c>
      <x:c r="P146" s="81" t="str">
        <x:f>'TESTI'!N22</x:f>
        <x:v>Tocca SCOPRI IL LIBRO e scegli cartaceo o Kindle.</x:v>
      </x:c>
      <x:c r="Q146" s="81" t="str">
        <x:f>'TESTI'!I22</x:f>
        <x:v>https://diaridipelle.it/intrecci-sbagliati.html?utm_source=facebook&amp;utm_medium=story&amp;utm_campaign=intrecci_sbagliati&amp;utm_content=ch09</x:v>
      </x:c>
      <x:c r="R146" s="81" t="str">
        <x:v>Meta Business Suite</x:v>
      </x:c>
      <x:c r="S146" s="117" t="str">
        <x:v>Programmabile</x:v>
      </x:c>
      <x:c r="T146" s="117" t="str">
        <x:v>Da fare</x:v>
      </x:c>
      <x:c r="U146" s="81" t="str">
        <x:v>Controlla che la destinazione sia la Pagina Facebook.</x:v>
      </x:c>
      <x:c r="V146" s="81" t="str">
        <x:f>IF(AND(E146&lt;TODAY(),T146&lt;&gt;"Pubblicato"),"SÌ","")</x:f>
      </x:c>
    </x:row>
    <x:row r="147" ht="78" customHeight="1">
      <x:c r="A147" s="117" t="str">
        <x:v>T146</x:v>
      </x:c>
      <x:c r="B147" s="117" t="n">
        <x:v>11</x:v>
      </x:c>
      <x:c r="C147" s="118" t="n">
        <x:f>'CAMPAGNE'!F22</x:f>
        <x:v>46292</x:v>
      </x:c>
      <x:c r="D147" s="119" t="n">
        <x:v>0.75</x:v>
      </x:c>
      <x:c r="E147" s="120" t="n">
        <x:f>'CAMPAGNE'!J22</x:f>
        <x:v>46310</x:v>
      </x:c>
      <x:c r="F147" s="117" t="str">
        <x:f>CHOOSE(WEEKDAY(E147,2),"Lunedì","Martedì","Mercoledì","Giovedì","Venerdì","Sabato","Domenica")</x:f>
        <x:v>Giovedì</x:v>
      </x:c>
      <x:c r="G147" s="119" t="n">
        <x:v>0.8333333333333334</x:v>
      </x:c>
      <x:c r="H147" s="117" t="str">
        <x:v>Instagram</x:v>
      </x:c>
      <x:c r="I147" s="117" t="str">
        <x:v>Carosello</x:v>
      </x:c>
      <x:c r="J147" s="81" t="str">
        <x:v>Intrecci Sbagliati</x:v>
      </x:c>
      <x:c r="K147" s="117" t="str">
        <x:v>CH09</x:v>
      </x:c>
      <x:c r="L147" s="81" t="str">
        <x:v>Virginia</x:v>
      </x:c>
      <x:c r="M147" s="81" t="str">
        <x:v>Carica le tre immagini nell'ordine 01, 02, 03; incolla la caption e programma.</x:v>
      </x:c>
      <x:c r="N147" s="81" t="str">
        <x:v>Intrecci_Sbagliati_Social_Pack/03_CAROUSELS/CH09/CH09_01.jpg
Intrecci_Sbagliati_Social_Pack/03_CAROUSELS/CH09/CH09_02.jpg
Intrecci_Sbagliati_Social_Pack/03_CAROUSELS/CH09/CH09_03.jpg</x:v>
      </x:c>
      <x:c r="O147" s="81" t="str">
        <x:v>Ordine obbligatorio: 01 → 02 → 03</x:v>
      </x:c>
      <x:c r="P147" s="81" t="str">
        <x:f>'TESTI'!E22</x:f>
        <x:v>La casa nuova sembra un castello, ma amplifica ogni litigio. Barcellona diventa di nuovo una fuga.
Virginia rappresenta carne, libertà e guerra; Ella ordine, promessa e distanza. Tenere entrambe le parti senza pagare un prezzo è impossibile.
Alcune notti riescono a salvarti nello stesso momento in cui rovinano qualcosa che credevi stabile.
Virginia è il nono capitolo di Intrecci Sbagliati. Scoprilo dal link nel profilo.
#DiariDiPelle #IntrecciSbagliati #Virginia #Barcellona #NarrativaPsicologica</x:v>
      </x:c>
      <x:c r="Q147" s="81" t="str">
        <x:f>'TESTI'!J22</x:f>
        <x:v>https://diaridipelle.it/intrecci-sbagliati.html</x:v>
      </x:c>
      <x:c r="R147" s="81" t="str">
        <x:v>App Instagram</x:v>
      </x:c>
      <x:c r="S147" s="117" t="str">
        <x:v>Programmabile</x:v>
      </x:c>
      <x:c r="T147" s="117" t="str">
        <x:v>Da fare</x:v>
      </x:c>
      <x:c r="U147" s="81" t="str">
        <x:v>Verifica che nessuna slide sia tagliata. Il link è nel profilo.</x:v>
      </x:c>
      <x:c r="V147" s="81" t="str">
        <x:f>IF(AND(E147&lt;TODAY(),T147&lt;&gt;"Pubblicato"),"SÌ","")</x:f>
      </x:c>
    </x:row>
    <x:row r="148" ht="78" customHeight="1">
      <x:c r="A148" s="117" t="str">
        <x:v>T147</x:v>
      </x:c>
      <x:c r="B148" s="117" t="n">
        <x:v>11</x:v>
      </x:c>
      <x:c r="C148" s="118" t="n">
        <x:f>'CAMPAGNE'!F22</x:f>
        <x:v>46292</x:v>
      </x:c>
      <x:c r="D148" s="119" t="n">
        <x:v>0.75</x:v>
      </x:c>
      <x:c r="E148" s="120" t="n">
        <x:f>'CAMPAGNE'!J22</x:f>
        <x:v>46310</x:v>
      </x:c>
      <x:c r="F148" s="117" t="str">
        <x:f>CHOOSE(WEEKDAY(E148,2),"Lunedì","Martedì","Mercoledì","Giovedì","Venerdì","Sabato","Domenica")</x:f>
        <x:v>Giovedì</x:v>
      </x:c>
      <x:c r="G148" s="119" t="n">
        <x:v>0.8333333333333334</x:v>
      </x:c>
      <x:c r="H148" s="117" t="str">
        <x:v>Facebook</x:v>
      </x:c>
      <x:c r="I148" s="117" t="str">
        <x:v>Carosello</x:v>
      </x:c>
      <x:c r="J148" s="81" t="str">
        <x:v>Intrecci Sbagliati</x:v>
      </x:c>
      <x:c r="K148" s="117" t="str">
        <x:v>CH09</x:v>
      </x:c>
      <x:c r="L148" s="81" t="str">
        <x:v>Virginia</x:v>
      </x:c>
      <x:c r="M148" s="81" t="str">
        <x:v>Carica le tre immagini nell'ordine 01, 02, 03; incolla la caption e programma.</x:v>
      </x:c>
      <x:c r="N148" s="81" t="str">
        <x:v>Intrecci_Sbagliati_Social_Pack/03_CAROUSELS/CH09/CH09_01.jpg
Intrecci_Sbagliati_Social_Pack/03_CAROUSELS/CH09/CH09_02.jpg
Intrecci_Sbagliati_Social_Pack/03_CAROUSELS/CH09/CH09_03.jpg</x:v>
      </x:c>
      <x:c r="O148" s="81" t="str">
        <x:v>Ordine obbligatorio: 01 → 02 → 03</x:v>
      </x:c>
      <x:c r="P148" s="81" t="str">
        <x:f>'TESTI'!F22</x:f>
        <x:v>La casa nuova sembra un castello, ma amplifica ogni litigio. Barcellona diventa di nuovo una fuga.
Virginia rappresenta carne, libertà e guerra; Ella ordine, promessa e distanza. Tenere entrambe le parti senza pagare un prezzo è impossibile.
Alcune notti riescono a salvarti nello stesso momento in cui rovinano qualcosa che credevi stabile.
Virginia è il nono capitolo di Intrecci Sbagliati. Scoprilo dal link nel profilo.
🌐 https://diaridipelle.it/intrecci-sbagliati.html
📕 Cartaceo: https://www.amazon.it/dp/B0GX27ZJ1L
📱 Kindle: https://www.amazon.it/dp/B0GX2JR3F6
#DiariDiPelle #IntrecciSbagliati #Virginia #Barcellona #NarrativaPsicologica</x:v>
      </x:c>
      <x:c r="Q148" s="81" t="str">
        <x:f>'TESTI'!J22</x:f>
        <x:v>https://diaridipelle.it/intrecci-sbagliati.html</x:v>
      </x:c>
      <x:c r="R148" s="81" t="str">
        <x:v>Meta Business Suite</x:v>
      </x:c>
      <x:c r="S148" s="117" t="str">
        <x:v>Programmabile</x:v>
      </x:c>
      <x:c r="T148" s="117" t="str">
        <x:v>Da fare</x:v>
      </x:c>
      <x:c r="U148" s="81" t="str">
        <x:v>Controlla ordine delle immagini e collegamenti nella caption.</x:v>
      </x:c>
      <x:c r="V148" s="81" t="str">
        <x:f>IF(AND(E148&lt;TODAY(),T148&lt;&gt;"Pubblicato"),"SÌ","")</x:f>
      </x:c>
    </x:row>
    <x:row r="149" ht="78" customHeight="1">
      <x:c r="A149" s="117" t="str">
        <x:v>T148</x:v>
      </x:c>
      <x:c r="B149" s="117" t="n">
        <x:v>11</x:v>
      </x:c>
      <x:c r="C149" s="118" t="n">
        <x:f>'CAMPAGNE'!F23</x:f>
        <x:v>46292</x:v>
      </x:c>
      <x:c r="D149" s="119" t="n">
        <x:v>0.75</x:v>
      </x:c>
      <x:c r="E149" s="120" t="n">
        <x:f>'CAMPAGNE'!H23</x:f>
        <x:v>46311</x:v>
      </x:c>
      <x:c r="F149" s="117" t="str">
        <x:f>CHOOSE(WEEKDAY(E149,2),"Lunedì","Martedì","Mercoledì","Giovedì","Venerdì","Sabato","Domenica")</x:f>
        <x:v>Venerdì</x:v>
      </x:c>
      <x:c r="G149" s="119" t="n">
        <x:v>0.8333333333333334</x:v>
      </x:c>
      <x:c r="H149" s="117" t="str">
        <x:v>Instagram</x:v>
      </x:c>
      <x:c r="I149" s="117" t="str">
        <x:v>Reel</x:v>
      </x:c>
      <x:c r="J149" s="81" t="str">
        <x:v>Intrecci Sbagliati</x:v>
      </x:c>
      <x:c r="K149" s="117" t="str">
        <x:v>CH10</x:v>
      </x:c>
      <x:c r="L149" s="81" t="str">
        <x:v>Legame</x:v>
      </x:c>
      <x:c r="M149" s="81" t="str">
        <x:v>Carica il video, imposta la copertina, incolla la caption e programma.</x:v>
      </x:c>
      <x:c r="N149" s="81" t="str">
        <x:v>Intrecci_Sbagliati_Social_Pack/01_REELS/CH10_reel.mp4</x:v>
      </x:c>
      <x:c r="O149" s="81" t="str">
        <x:v>Intrecci_Sbagliati_Social_Pack/02_REEL_COVERS/CH10_cover.jpg</x:v>
      </x:c>
      <x:c r="P149" s="81" t="str">
        <x:f>'TESTI'!E23</x:f>
        <x:v>Dopo Virginia non torna più leggero. Torna diviso.
Ella continua a scavare con la calma delle cose destinate a durare. È qui che una notte smette di essere soltanto un ricordo e diventa legame, responsabilità, eco.
Una notte può bruciare. Un intreccio continua nel modo in cui guardi gli altri e, soprattutto, te stesso.
«Legame» chiude Intrecci Sbagliati e prepara il passaggio successivo. Inizia dal link nel profilo.
#DiariDiPelle #IntrecciSbagliati #Legame #Relazioni #NarrativaItaliana</x:v>
      </x:c>
      <x:c r="Q149" s="81" t="str">
        <x:f>'TESTI'!J23</x:f>
        <x:v>https://diaridipelle.it/intrecci-sbagliati.html</x:v>
      </x:c>
      <x:c r="R149" s="81" t="str">
        <x:v>App Instagram</x:v>
      </x:c>
      <x:c r="S149" s="117" t="str">
        <x:v>Programmabile</x:v>
      </x:c>
      <x:c r="T149" s="117" t="str">
        <x:v>Da fare</x:v>
      </x:c>
      <x:c r="U149" s="81" t="str">
        <x:v>Controlla audio, ritaglio 9:16 e anteprima copertina. Il link è nel profilo.</x:v>
      </x:c>
      <x:c r="V149" s="81" t="str">
        <x:f>IF(AND(E149&lt;TODAY(),T149&lt;&gt;"Pubblicato"),"SÌ","")</x:f>
      </x:c>
    </x:row>
    <x:row r="150" ht="78" customHeight="1">
      <x:c r="A150" s="117" t="str">
        <x:v>T149</x:v>
      </x:c>
      <x:c r="B150" s="117" t="n">
        <x:v>11</x:v>
      </x:c>
      <x:c r="C150" s="118" t="n">
        <x:f>'CAMPAGNE'!F23</x:f>
        <x:v>46292</x:v>
      </x:c>
      <x:c r="D150" s="119" t="n">
        <x:v>0.75</x:v>
      </x:c>
      <x:c r="E150" s="120" t="n">
        <x:f>'CAMPAGNE'!H23</x:f>
        <x:v>46311</x:v>
      </x:c>
      <x:c r="F150" s="117" t="str">
        <x:f>CHOOSE(WEEKDAY(E150,2),"Lunedì","Martedì","Mercoledì","Giovedì","Venerdì","Sabato","Domenica")</x:f>
        <x:v>Venerdì</x:v>
      </x:c>
      <x:c r="G150" s="119" t="n">
        <x:v>0.8333333333333334</x:v>
      </x:c>
      <x:c r="H150" s="117" t="str">
        <x:v>Facebook</x:v>
      </x:c>
      <x:c r="I150" s="117" t="str">
        <x:v>Reel</x:v>
      </x:c>
      <x:c r="J150" s="81" t="str">
        <x:v>Intrecci Sbagliati</x:v>
      </x:c>
      <x:c r="K150" s="117" t="str">
        <x:v>CH10</x:v>
      </x:c>
      <x:c r="L150" s="81" t="str">
        <x:v>Legame</x:v>
      </x:c>
      <x:c r="M150" s="81" t="str">
        <x:v>Crea un Reel nella Pagina, carica video e copertina, incolla la caption e programma.</x:v>
      </x:c>
      <x:c r="N150" s="81" t="str">
        <x:v>Intrecci_Sbagliati_Social_Pack/01_REELS/CH10_reel.mp4</x:v>
      </x:c>
      <x:c r="O150" s="81" t="str">
        <x:v>Intrecci_Sbagliati_Social_Pack/02_REEL_COVERS/CH10_cover.jpg</x:v>
      </x:c>
      <x:c r="P150" s="81" t="str">
        <x:f>'TESTI'!F23</x:f>
        <x:v>Dopo Virginia non torna più leggero. Torna diviso.
Ella continua a scavare con la calma delle cose destinate a durare. È qui che una notte smette di essere soltanto un ricordo e diventa legame, responsabilità, eco.
Una notte può bruciare. Un intreccio continua nel modo in cui guardi gli altri e, soprattutto, te stesso.
«Legame» chiude Intrecci Sbagliati e prepara il passaggio successivo. Inizia dal link nel profilo.
🌐 https://diaridipelle.it/intrecci-sbagliati.html
📕 Cartaceo: https://www.amazon.it/dp/B0GX27ZJ1L
📱 Kindle: https://www.amazon.it/dp/B0GX2JR3F6
#DiariDiPelle #IntrecciSbagliati #Legame #Relazioni #NarrativaItaliana</x:v>
      </x:c>
      <x:c r="Q150" s="81" t="str">
        <x:f>'TESTI'!J23</x:f>
        <x:v>https://diaridipelle.it/intrecci-sbagliati.html</x:v>
      </x:c>
      <x:c r="R150" s="81" t="str">
        <x:v>Meta Business Suite</x:v>
      </x:c>
      <x:c r="S150" s="117" t="str">
        <x:v>Programmabile</x:v>
      </x:c>
      <x:c r="T150" s="117" t="str">
        <x:v>Da fare</x:v>
      </x:c>
      <x:c r="U150" s="81" t="str">
        <x:v>Pubblica sulla Pagina Facebook. I collegamenti nella caption sono cliccabili.</x:v>
      </x:c>
      <x:c r="V150" s="81" t="str">
        <x:f>IF(AND(E150&lt;TODAY(),T150&lt;&gt;"Pubblicato"),"SÌ","")</x:f>
      </x:c>
    </x:row>
    <x:row r="151" ht="78" customHeight="1">
      <x:c r="A151" s="117" t="str">
        <x:v>T150</x:v>
      </x:c>
      <x:c r="B151" s="117" t="n">
        <x:v>11</x:v>
      </x:c>
      <x:c r="C151" s="118" t="n">
        <x:f>'CAMPAGNE'!G23</x:f>
        <x:v>46306</x:v>
      </x:c>
      <x:c r="D151" s="119" t="n">
        <x:v>0.75</x:v>
      </x:c>
      <x:c r="E151" s="120" t="n">
        <x:f>'CAMPAGNE'!H23</x:f>
        <x:v>46311</x:v>
      </x:c>
      <x:c r="F151" s="117" t="str">
        <x:f>CHOOSE(WEEKDAY(E151,2),"Lunedì","Martedì","Mercoledì","Giovedì","Venerdì","Sabato","Domenica")</x:f>
        <x:v>Venerdì</x:v>
      </x:c>
      <x:c r="G151" s="119" t="n">
        <x:v>0.8333333333333334</x:v>
      </x:c>
      <x:c r="H151" s="117" t="str">
        <x:v>TikTok</x:v>
      </x:c>
      <x:c r="I151" s="117" t="str">
        <x:v>Video</x:v>
      </x:c>
      <x:c r="J151" s="81" t="str">
        <x:v>Intrecci Sbagliati</x:v>
      </x:c>
      <x:c r="K151" s="117" t="str">
        <x:v>CH10</x:v>
      </x:c>
      <x:c r="L151" s="81" t="str">
        <x:v>Legame</x:v>
      </x:c>
      <x:c r="M151" s="81" t="str">
        <x:v>Carica il video in TikTok Studio, scegli la copertina, incolla la caption breve e programma.</x:v>
      </x:c>
      <x:c r="N151" s="81" t="str">
        <x:v>Intrecci_Sbagliati_Social_Pack/01_REELS/CH10_reel.mp4</x:v>
      </x:c>
      <x:c r="O151" s="81" t="str">
        <x:v>Intrecci_Sbagliati_Social_Pack/02_REEL_COVERS/CH10_cover.jpg</x:v>
      </x:c>
      <x:c r="P151" s="81" t="str">
        <x:f>'TESTI'!G23</x:f>
        <x:v>Dopo Virginia non torna più leggero. Torna diviso.
«Legame» da Intrecci Sbagliati.
Scopri il libro dal link in bio.
#DiariDiPelle #IntrecciSbagliati #BookTokItalia #LibriTikTok</x:v>
      </x:c>
      <x:c r="Q151" s="81" t="str">
        <x:f>'TESTI'!J23</x:f>
        <x:v>https://diaridipelle.it/intrecci-sbagliati.html</x:v>
      </x:c>
      <x:c r="R151" s="81" t="str">
        <x:v>TikTok Studio</x:v>
      </x:c>
      <x:c r="S151" s="117" t="str">
        <x:v>Programmabile entro 10 giorni</x:v>
      </x:c>
      <x:c r="T151" s="117" t="str">
        <x:v>Da fare</x:v>
      </x:c>
      <x:c r="U151" s="81" t="str">
        <x:v>Non aggiungere watermark. Controlla anteprima verticale e audio.</x:v>
      </x:c>
      <x:c r="V151" s="81" t="str">
        <x:f>IF(AND(E151&lt;TODAY(),T151&lt;&gt;"Pubblicato"),"SÌ","")</x:f>
      </x:c>
    </x:row>
    <x:row r="152" ht="78" customHeight="1">
      <x:c r="A152" s="117" t="str">
        <x:v>T151</x:v>
      </x:c>
      <x:c r="B152" s="117" t="n">
        <x:v>11</x:v>
      </x:c>
      <x:c r="C152" s="118" t="n">
        <x:f>'CAMPAGNE'!I23</x:f>
        <x:v>46312</x:v>
      </x:c>
      <x:c r="D152" s="119" t="n">
        <x:v>0.4965277777777778</x:v>
      </x:c>
      <x:c r="E152" s="120" t="n">
        <x:f>'CAMPAGNE'!I23</x:f>
        <x:v>46312</x:v>
      </x:c>
      <x:c r="F152" s="117" t="str">
        <x:f>CHOOSE(WEEKDAY(E152,2),"Lunedì","Martedì","Mercoledì","Giovedì","Venerdì","Sabato","Domenica")</x:f>
        <x:v>Sabato</x:v>
      </x:c>
      <x:c r="G152" s="119" t="n">
        <x:v>0.5</x:v>
      </x:c>
      <x:c r="H152" s="117" t="str">
        <x:v>Instagram</x:v>
      </x:c>
      <x:c r="I152" s="117" t="str">
        <x:v>Storia</x:v>
      </x:c>
      <x:c r="J152" s="81" t="str">
        <x:v>Intrecci Sbagliati</x:v>
      </x:c>
      <x:c r="K152" s="117" t="str">
        <x:v>CH10</x:v>
      </x:c>
      <x:c r="L152" s="81" t="str">
        <x:v>Legame</x:v>
      </x:c>
      <x:c r="M152" s="81" t="str">
        <x:v>Carica l'immagine, aggiungi l'adesivo Link e pubblica.</x:v>
      </x:c>
      <x:c r="N152" s="81" t="str">
        <x:v>Intrecci_Sbagliati_Social_Pack/04_STORIES/CH10_story.jpg</x:v>
      </x:c>
      <x:c r="O152" s="81" t="str">
        <x:v>Intrecci_Sbagliati_Social_Pack/05_CAPTIONS/CH10_story_link.txt</x:v>
      </x:c>
      <x:c r="P152" s="81" t="str">
        <x:f>'TESTI'!N23</x:f>
        <x:v>Tocca SCOPRI IL LIBRO e scegli cartaceo o Kindle.</x:v>
      </x:c>
      <x:c r="Q152" s="81" t="str">
        <x:f>'TESTI'!H23</x:f>
        <x:v>https://diaridipelle.it/intrecci-sbagliati.html?utm_source=instagram&amp;utm_medium=story&amp;utm_campaign=intrecci_sbagliati&amp;utm_content=ch10</x:v>
      </x:c>
      <x:c r="R152" s="81" t="str">
        <x:v>App Instagram</x:v>
      </x:c>
      <x:c r="S152" s="117" t="str">
        <x:v>Manuale</x:v>
      </x:c>
      <x:c r="T152" s="117" t="str">
        <x:v>Da fare</x:v>
      </x:c>
      <x:c r="U152" s="81" t="str">
        <x:v>La data lavoro è lo stesso giorno, 5 minuti prima. Testo adesivo: SCOPRI IL LIBRO.</x:v>
      </x:c>
      <x:c r="V152" s="81" t="str">
        <x:f>IF(AND(E152&lt;TODAY(),T152&lt;&gt;"Pubblicato"),"SÌ","")</x:f>
      </x:c>
    </x:row>
    <x:row r="153" ht="78" customHeight="1">
      <x:c r="A153" s="117" t="str">
        <x:v>T152</x:v>
      </x:c>
      <x:c r="B153" s="117" t="n">
        <x:v>11</x:v>
      </x:c>
      <x:c r="C153" s="118" t="n">
        <x:f>'CAMPAGNE'!F23</x:f>
        <x:v>46292</x:v>
      </x:c>
      <x:c r="D153" s="119" t="n">
        <x:v>0.75</x:v>
      </x:c>
      <x:c r="E153" s="120" t="n">
        <x:f>'CAMPAGNE'!I23</x:f>
        <x:v>46312</x:v>
      </x:c>
      <x:c r="F153" s="117" t="str">
        <x:f>CHOOSE(WEEKDAY(E153,2),"Lunedì","Martedì","Mercoledì","Giovedì","Venerdì","Sabato","Domenica")</x:f>
        <x:v>Sabato</x:v>
      </x:c>
      <x:c r="G153" s="119" t="n">
        <x:v>0.5</x:v>
      </x:c>
      <x:c r="H153" s="117" t="str">
        <x:v>Facebook</x:v>
      </x:c>
      <x:c r="I153" s="117" t="str">
        <x:v>Storia</x:v>
      </x:c>
      <x:c r="J153" s="81" t="str">
        <x:v>Intrecci Sbagliati</x:v>
      </x:c>
      <x:c r="K153" s="117" t="str">
        <x:v>CH10</x:v>
      </x:c>
      <x:c r="L153" s="81" t="str">
        <x:v>Legame</x:v>
      </x:c>
      <x:c r="M153" s="81" t="str">
        <x:v>Crea una Storia della Pagina, carica l'immagine, aggiungi il link e programma.</x:v>
      </x:c>
      <x:c r="N153" s="81" t="str">
        <x:v>Intrecci_Sbagliati_Social_Pack/04_STORIES/CH10_story.jpg</x:v>
      </x:c>
      <x:c r="O153" s="81" t="str">
        <x:v>Intrecci_Sbagliati_Social_Pack/05_CAPTIONS/CH10_story_link.txt</x:v>
      </x:c>
      <x:c r="P153" s="81" t="str">
        <x:f>'TESTI'!N23</x:f>
        <x:v>Tocca SCOPRI IL LIBRO e scegli cartaceo o Kindle.</x:v>
      </x:c>
      <x:c r="Q153" s="81" t="str">
        <x:f>'TESTI'!I23</x:f>
        <x:v>https://diaridipelle.it/intrecci-sbagliati.html?utm_source=facebook&amp;utm_medium=story&amp;utm_campaign=intrecci_sbagliati&amp;utm_content=ch10</x:v>
      </x:c>
      <x:c r="R153" s="81" t="str">
        <x:v>Meta Business Suite</x:v>
      </x:c>
      <x:c r="S153" s="117" t="str">
        <x:v>Programmabile</x:v>
      </x:c>
      <x:c r="T153" s="117" t="str">
        <x:v>Da fare</x:v>
      </x:c>
      <x:c r="U153" s="81" t="str">
        <x:v>Controlla che la destinazione sia la Pagina Facebook.</x:v>
      </x:c>
      <x:c r="V153" s="81" t="str">
        <x:f>IF(AND(E153&lt;TODAY(),T153&lt;&gt;"Pubblicato"),"SÌ","")</x:f>
      </x:c>
    </x:row>
    <x:row r="154" ht="78" customHeight="1">
      <x:c r="A154" s="117" t="str">
        <x:v>T153</x:v>
      </x:c>
      <x:c r="B154" s="117" t="n">
        <x:v>11</x:v>
      </x:c>
      <x:c r="C154" s="118" t="n">
        <x:f>'CAMPAGNE'!F23</x:f>
        <x:v>46292</x:v>
      </x:c>
      <x:c r="D154" s="119" t="n">
        <x:v>0.75</x:v>
      </x:c>
      <x:c r="E154" s="120" t="n">
        <x:f>'CAMPAGNE'!J23</x:f>
        <x:v>46313</x:v>
      </x:c>
      <x:c r="F154" s="117" t="str">
        <x:f>CHOOSE(WEEKDAY(E154,2),"Lunedì","Martedì","Mercoledì","Giovedì","Venerdì","Sabato","Domenica")</x:f>
        <x:v>Domenica</x:v>
      </x:c>
      <x:c r="G154" s="119" t="n">
        <x:v>0.4583333333333333</x:v>
      </x:c>
      <x:c r="H154" s="117" t="str">
        <x:v>Instagram</x:v>
      </x:c>
      <x:c r="I154" s="117" t="str">
        <x:v>Carosello</x:v>
      </x:c>
      <x:c r="J154" s="81" t="str">
        <x:v>Intrecci Sbagliati</x:v>
      </x:c>
      <x:c r="K154" s="117" t="str">
        <x:v>CH10</x:v>
      </x:c>
      <x:c r="L154" s="81" t="str">
        <x:v>Legame</x:v>
      </x:c>
      <x:c r="M154" s="81" t="str">
        <x:v>Carica le tre immagini nell'ordine 01, 02, 03; incolla la caption e programma.</x:v>
      </x:c>
      <x:c r="N154" s="81" t="str">
        <x:v>Intrecci_Sbagliati_Social_Pack/03_CAROUSELS/CH10/CH10_01.jpg
Intrecci_Sbagliati_Social_Pack/03_CAROUSELS/CH10/CH10_02.jpg
Intrecci_Sbagliati_Social_Pack/03_CAROUSELS/CH10/CH10_03.jpg</x:v>
      </x:c>
      <x:c r="O154" s="81" t="str">
        <x:v>Ordine obbligatorio: 01 → 02 → 03</x:v>
      </x:c>
      <x:c r="P154" s="81" t="str">
        <x:f>'TESTI'!E23</x:f>
        <x:v>Dopo Virginia non torna più leggero. Torna diviso.
Ella continua a scavare con la calma delle cose destinate a durare. È qui che una notte smette di essere soltanto un ricordo e diventa legame, responsabilità, eco.
Una notte può bruciare. Un intreccio continua nel modo in cui guardi gli altri e, soprattutto, te stesso.
«Legame» chiude Intrecci Sbagliati e prepara il passaggio successivo. Inizia dal link nel profilo.
#DiariDiPelle #IntrecciSbagliati #Legame #Relazioni #NarrativaItaliana</x:v>
      </x:c>
      <x:c r="Q154" s="81" t="str">
        <x:f>'TESTI'!J23</x:f>
        <x:v>https://diaridipelle.it/intrecci-sbagliati.html</x:v>
      </x:c>
      <x:c r="R154" s="81" t="str">
        <x:v>App Instagram</x:v>
      </x:c>
      <x:c r="S154" s="117" t="str">
        <x:v>Programmabile</x:v>
      </x:c>
      <x:c r="T154" s="117" t="str">
        <x:v>Da fare</x:v>
      </x:c>
      <x:c r="U154" s="81" t="str">
        <x:v>Verifica che nessuna slide sia tagliata. Il link è nel profilo.</x:v>
      </x:c>
      <x:c r="V154" s="81" t="str">
        <x:f>IF(AND(E154&lt;TODAY(),T154&lt;&gt;"Pubblicato"),"SÌ","")</x:f>
      </x:c>
    </x:row>
    <x:row r="155" ht="78" customHeight="1">
      <x:c r="A155" s="117" t="str">
        <x:v>T154</x:v>
      </x:c>
      <x:c r="B155" s="117" t="n">
        <x:v>11</x:v>
      </x:c>
      <x:c r="C155" s="118" t="n">
        <x:f>'CAMPAGNE'!F23</x:f>
        <x:v>46292</x:v>
      </x:c>
      <x:c r="D155" s="119" t="n">
        <x:v>0.75</x:v>
      </x:c>
      <x:c r="E155" s="120" t="n">
        <x:f>'CAMPAGNE'!J23</x:f>
        <x:v>46313</x:v>
      </x:c>
      <x:c r="F155" s="117" t="str">
        <x:f>CHOOSE(WEEKDAY(E155,2),"Lunedì","Martedì","Mercoledì","Giovedì","Venerdì","Sabato","Domenica")</x:f>
        <x:v>Domenica</x:v>
      </x:c>
      <x:c r="G155" s="119" t="n">
        <x:v>0.4583333333333333</x:v>
      </x:c>
      <x:c r="H155" s="117" t="str">
        <x:v>Facebook</x:v>
      </x:c>
      <x:c r="I155" s="117" t="str">
        <x:v>Carosello</x:v>
      </x:c>
      <x:c r="J155" s="81" t="str">
        <x:v>Intrecci Sbagliati</x:v>
      </x:c>
      <x:c r="K155" s="117" t="str">
        <x:v>CH10</x:v>
      </x:c>
      <x:c r="L155" s="81" t="str">
        <x:v>Legame</x:v>
      </x:c>
      <x:c r="M155" s="81" t="str">
        <x:v>Carica le tre immagini nell'ordine 01, 02, 03; incolla la caption e programma.</x:v>
      </x:c>
      <x:c r="N155" s="81" t="str">
        <x:v>Intrecci_Sbagliati_Social_Pack/03_CAROUSELS/CH10/CH10_01.jpg
Intrecci_Sbagliati_Social_Pack/03_CAROUSELS/CH10/CH10_02.jpg
Intrecci_Sbagliati_Social_Pack/03_CAROUSELS/CH10/CH10_03.jpg</x:v>
      </x:c>
      <x:c r="O155" s="81" t="str">
        <x:v>Ordine obbligatorio: 01 → 02 → 03</x:v>
      </x:c>
      <x:c r="P155" s="81" t="str">
        <x:f>'TESTI'!F23</x:f>
        <x:v>Dopo Virginia non torna più leggero. Torna diviso.
Ella continua a scavare con la calma delle cose destinate a durare. È qui che una notte smette di essere soltanto un ricordo e diventa legame, responsabilità, eco.
Una notte può bruciare. Un intreccio continua nel modo in cui guardi gli altri e, soprattutto, te stesso.
«Legame» chiude Intrecci Sbagliati e prepara il passaggio successivo. Inizia dal link nel profilo.
🌐 https://diaridipelle.it/intrecci-sbagliati.html
📕 Cartaceo: https://www.amazon.it/dp/B0GX27ZJ1L
📱 Kindle: https://www.amazon.it/dp/B0GX2JR3F6
#DiariDiPelle #IntrecciSbagliati #Legame #Relazioni #NarrativaItaliana</x:v>
      </x:c>
      <x:c r="Q155" s="81" t="str">
        <x:f>'TESTI'!J23</x:f>
        <x:v>https://diaridipelle.it/intrecci-sbagliati.html</x:v>
      </x:c>
      <x:c r="R155" s="81" t="str">
        <x:v>Meta Business Suite</x:v>
      </x:c>
      <x:c r="S155" s="117" t="str">
        <x:v>Programmabile</x:v>
      </x:c>
      <x:c r="T155" s="117" t="str">
        <x:v>Da fare</x:v>
      </x:c>
      <x:c r="U155" s="81" t="str">
        <x:v>Controlla ordine delle immagini e collegamenti nella caption.</x:v>
      </x:c>
      <x:c r="V155" s="81" t="str">
        <x:f>IF(AND(E155&lt;TODAY(),T155&lt;&gt;"Pubblicato"),"SÌ","")</x:f>
      </x:c>
    </x:row>
    <x:row r="156" ht="78" customHeight="1">
      <x:c r="A156" s="117" t="str">
        <x:v>T155</x:v>
      </x:c>
      <x:c r="B156" s="117" t="n">
        <x:v>12</x:v>
      </x:c>
      <x:c r="C156" s="118" t="n">
        <x:f>'CAMPAGNE'!F24</x:f>
        <x:v>46292</x:v>
      </x:c>
      <x:c r="D156" s="119" t="n">
        <x:v>0.75</x:v>
      </x:c>
      <x:c r="E156" s="120" t="n">
        <x:f>'CAMPAGNE'!H24</x:f>
        <x:v>46315</x:v>
      </x:c>
      <x:c r="F156" s="117" t="str">
        <x:f>CHOOSE(WEEKDAY(E156,2),"Lunedì","Martedì","Mercoledì","Giovedì","Venerdì","Sabato","Domenica")</x:f>
        <x:v>Martedì</x:v>
      </x:c>
      <x:c r="G156" s="119" t="n">
        <x:v>0.8333333333333334</x:v>
      </x:c>
      <x:c r="H156" s="117" t="str">
        <x:v>Instagram</x:v>
      </x:c>
      <x:c r="I156" s="117" t="str">
        <x:v>Reel</x:v>
      </x:c>
      <x:c r="J156" s="81" t="str">
        <x:v>Legami</x:v>
      </x:c>
      <x:c r="K156" s="117" t="str">
        <x:v>TRAILER</x:v>
      </x:c>
      <x:c r="L156" s="81" t="str">
        <x:v>Legămi</x:v>
      </x:c>
      <x:c r="M156" s="81" t="str">
        <x:v>Carica il video, imposta la copertina, incolla la caption e programma.</x:v>
      </x:c>
      <x:c r="N156" s="81" t="str">
        <x:v>Legami_Social_Pack/01_REELS/TRAILER_reel.mp4</x:v>
      </x:c>
      <x:c r="O156" s="81" t="str">
        <x:v>Legami_Social_Pack/02_REEL_COVERS/TRAILER_cover.jpg</x:v>
      </x:c>
      <x:c r="P156" s="81" t="str">
        <x:f>'TESTI'!E24</x:f>
        <x:v>Il desiderio sembrava libertà. Poi ha iniziato a chiedere il conto.
Legămi è il terzo volume di Diari di Pelle e il più oscuro della collana: dieci capitoli costruiti attorno a oggetti che diventano simboli di controllo, dipendenza, colpa, ritorno e perdita.
Il collare. La benda. Il guinzaglio. Il nodo. Il morso. Le redini. La catena. La chiave. La safe word. La sospensione.
Scopri il libro dal link nel profilo.
🛒 Amazon: https://www.amazon.it/dp/B0GZJR8FSJ
#DiariDiPelle #Legami #NarrativaItaliana #NarrativaPsicologica #BookstagramItalia</x:v>
      </x:c>
      <x:c r="Q156" s="81" t="str">
        <x:f>'TESTI'!J24</x:f>
        <x:v>https://diaridipelle.it/legami.html</x:v>
      </x:c>
      <x:c r="R156" s="81" t="str">
        <x:v>App Instagram</x:v>
      </x:c>
      <x:c r="S156" s="117" t="str">
        <x:v>Programmabile</x:v>
      </x:c>
      <x:c r="T156" s="117" t="str">
        <x:v>Da fare</x:v>
      </x:c>
      <x:c r="U156" s="81" t="str">
        <x:v>Controlla audio, ritaglio 9:16 e anteprima copertina. Il link è nel profilo.</x:v>
      </x:c>
      <x:c r="V156" s="81" t="str">
        <x:f>IF(AND(E156&lt;TODAY(),T156&lt;&gt;"Pubblicato"),"SÌ","")</x:f>
      </x:c>
    </x:row>
    <x:row r="157" ht="78" customHeight="1">
      <x:c r="A157" s="117" t="str">
        <x:v>T156</x:v>
      </x:c>
      <x:c r="B157" s="117" t="n">
        <x:v>12</x:v>
      </x:c>
      <x:c r="C157" s="118" t="n">
        <x:f>'CAMPAGNE'!F24</x:f>
        <x:v>46292</x:v>
      </x:c>
      <x:c r="D157" s="119" t="n">
        <x:v>0.75</x:v>
      </x:c>
      <x:c r="E157" s="120" t="n">
        <x:f>'CAMPAGNE'!H24</x:f>
        <x:v>46315</x:v>
      </x:c>
      <x:c r="F157" s="117" t="str">
        <x:f>CHOOSE(WEEKDAY(E157,2),"Lunedì","Martedì","Mercoledì","Giovedì","Venerdì","Sabato","Domenica")</x:f>
        <x:v>Martedì</x:v>
      </x:c>
      <x:c r="G157" s="119" t="n">
        <x:v>0.8333333333333334</x:v>
      </x:c>
      <x:c r="H157" s="117" t="str">
        <x:v>Facebook</x:v>
      </x:c>
      <x:c r="I157" s="117" t="str">
        <x:v>Reel</x:v>
      </x:c>
      <x:c r="J157" s="81" t="str">
        <x:v>Legami</x:v>
      </x:c>
      <x:c r="K157" s="117" t="str">
        <x:v>TRAILER</x:v>
      </x:c>
      <x:c r="L157" s="81" t="str">
        <x:v>Legămi</x:v>
      </x:c>
      <x:c r="M157" s="81" t="str">
        <x:v>Crea un Reel nella Pagina, carica video e copertina, incolla la caption e programma.</x:v>
      </x:c>
      <x:c r="N157" s="81" t="str">
        <x:v>Legami_Social_Pack/01_REELS/TRAILER_reel.mp4</x:v>
      </x:c>
      <x:c r="O157" s="81" t="str">
        <x:v>Legami_Social_Pack/02_REEL_COVERS/TRAILER_cover.jpg</x:v>
      </x:c>
      <x:c r="P157" s="81" t="str">
        <x:f>'TESTI'!F24</x:f>
        <x:v>Il desiderio sembrava libertà. Poi ha iniziato a chiedere il conto.
Legămi è il terzo volume di Diari di Pelle e il più oscuro della collana: dieci capitoli costruiti attorno a oggetti che diventano simboli di controllo, dipendenza, colpa, ritorno e perdita.
Il collare. La benda. Il guinzaglio. Il nodo. Il morso. Le redini. La catena. La chiave. La safe word. La sospensione.
Scopri il libro dal link nel profilo.
🌐 https://diaridipelle.it/legami.html
🛒 Amazon: https://www.amazon.it/dp/B0GZJR8FSJ
#DiariDiPelle #Legami #NarrativaItaliana #NarrativaPsicologica #BookstagramItalia</x:v>
      </x:c>
      <x:c r="Q157" s="81" t="str">
        <x:f>'TESTI'!J24</x:f>
        <x:v>https://diaridipelle.it/legami.html</x:v>
      </x:c>
      <x:c r="R157" s="81" t="str">
        <x:v>Meta Business Suite</x:v>
      </x:c>
      <x:c r="S157" s="117" t="str">
        <x:v>Programmabile</x:v>
      </x:c>
      <x:c r="T157" s="117" t="str">
        <x:v>Da fare</x:v>
      </x:c>
      <x:c r="U157" s="81" t="str">
        <x:v>Pubblica sulla Pagina Facebook. I collegamenti nella caption sono cliccabili.</x:v>
      </x:c>
      <x:c r="V157" s="81" t="str">
        <x:f>IF(AND(E157&lt;TODAY(),T157&lt;&gt;"Pubblicato"),"SÌ","")</x:f>
      </x:c>
    </x:row>
    <x:row r="158" ht="78" customHeight="1">
      <x:c r="A158" s="117" t="str">
        <x:v>T157</x:v>
      </x:c>
      <x:c r="B158" s="117" t="n">
        <x:v>12</x:v>
      </x:c>
      <x:c r="C158" s="118" t="n">
        <x:f>'CAMPAGNE'!G24</x:f>
        <x:v>46313</x:v>
      </x:c>
      <x:c r="D158" s="119" t="n">
        <x:v>0.75</x:v>
      </x:c>
      <x:c r="E158" s="120" t="n">
        <x:f>'CAMPAGNE'!H24</x:f>
        <x:v>46315</x:v>
      </x:c>
      <x:c r="F158" s="117" t="str">
        <x:f>CHOOSE(WEEKDAY(E158,2),"Lunedì","Martedì","Mercoledì","Giovedì","Venerdì","Sabato","Domenica")</x:f>
        <x:v>Martedì</x:v>
      </x:c>
      <x:c r="G158" s="119" t="n">
        <x:v>0.8333333333333334</x:v>
      </x:c>
      <x:c r="H158" s="117" t="str">
        <x:v>TikTok</x:v>
      </x:c>
      <x:c r="I158" s="117" t="str">
        <x:v>Video</x:v>
      </x:c>
      <x:c r="J158" s="81" t="str">
        <x:v>Legami</x:v>
      </x:c>
      <x:c r="K158" s="117" t="str">
        <x:v>TRAILER</x:v>
      </x:c>
      <x:c r="L158" s="81" t="str">
        <x:v>Legămi</x:v>
      </x:c>
      <x:c r="M158" s="81" t="str">
        <x:v>Carica il video in TikTok Studio, scegli la copertina, incolla la caption breve e programma.</x:v>
      </x:c>
      <x:c r="N158" s="81" t="str">
        <x:v>Legami_Social_Pack/01_REELS/TRAILER_reel.mp4</x:v>
      </x:c>
      <x:c r="O158" s="81" t="str">
        <x:v>Legami_Social_Pack/02_REEL_COVERS/TRAILER_cover.jpg</x:v>
      </x:c>
      <x:c r="P158" s="81" t="str">
        <x:f>'TESTI'!G24</x:f>
        <x:v>Il desiderio sembrava libertà. Poi ha iniziato a chiedere il conto.
«Legămi» da Legami.
Scopri il libro dal link in bio.
#DiariDiPelle #Legami #BookTokItalia #LibriTikTok</x:v>
      </x:c>
      <x:c r="Q158" s="81" t="str">
        <x:f>'TESTI'!J24</x:f>
        <x:v>https://diaridipelle.it/legami.html</x:v>
      </x:c>
      <x:c r="R158" s="81" t="str">
        <x:v>TikTok Studio</x:v>
      </x:c>
      <x:c r="S158" s="117" t="str">
        <x:v>Programmabile entro 10 giorni</x:v>
      </x:c>
      <x:c r="T158" s="117" t="str">
        <x:v>Da fare</x:v>
      </x:c>
      <x:c r="U158" s="81" t="str">
        <x:v>Non aggiungere watermark. Controlla anteprima verticale e audio.</x:v>
      </x:c>
      <x:c r="V158" s="81" t="str">
        <x:f>IF(AND(E158&lt;TODAY(),T158&lt;&gt;"Pubblicato"),"SÌ","")</x:f>
      </x:c>
    </x:row>
    <x:row r="159" ht="78" customHeight="1">
      <x:c r="A159" s="117" t="str">
        <x:v>T158</x:v>
      </x:c>
      <x:c r="B159" s="117" t="n">
        <x:v>12</x:v>
      </x:c>
      <x:c r="C159" s="118" t="n">
        <x:f>'CAMPAGNE'!I24</x:f>
        <x:v>46316</x:v>
      </x:c>
      <x:c r="D159" s="119" t="n">
        <x:v>0.4965277777777778</x:v>
      </x:c>
      <x:c r="E159" s="120" t="n">
        <x:f>'CAMPAGNE'!I24</x:f>
        <x:v>46316</x:v>
      </x:c>
      <x:c r="F159" s="117" t="str">
        <x:f>CHOOSE(WEEKDAY(E159,2),"Lunedì","Martedì","Mercoledì","Giovedì","Venerdì","Sabato","Domenica")</x:f>
        <x:v>Mercoledì</x:v>
      </x:c>
      <x:c r="G159" s="119" t="n">
        <x:v>0.5</x:v>
      </x:c>
      <x:c r="H159" s="117" t="str">
        <x:v>Instagram</x:v>
      </x:c>
      <x:c r="I159" s="117" t="str">
        <x:v>Storia</x:v>
      </x:c>
      <x:c r="J159" s="81" t="str">
        <x:v>Legami</x:v>
      </x:c>
      <x:c r="K159" s="117" t="str">
        <x:v>TRAILER</x:v>
      </x:c>
      <x:c r="L159" s="81" t="str">
        <x:v>Legămi</x:v>
      </x:c>
      <x:c r="M159" s="81" t="str">
        <x:v>Carica l'immagine, aggiungi l'adesivo Link e pubblica.</x:v>
      </x:c>
      <x:c r="N159" s="81" t="str">
        <x:v>Legami_Social_Pack/04_STORIES/TRAILER_story.jpg</x:v>
      </x:c>
      <x:c r="O159" s="81" t="str">
        <x:v>Legami_Social_Pack/05_CAPTIONS/TRAILER_story_link.txt</x:v>
      </x:c>
      <x:c r="P159" s="81" t="str">
        <x:f>'TESTI'!N24</x:f>
        <x:v>Tocca SCOPRI IL LIBRO e scegli cartaceo o Kindle.</x:v>
      </x:c>
      <x:c r="Q159" s="81" t="str">
        <x:f>'TESTI'!H24</x:f>
        <x:v>https://diaridipelle.it/legami.html?utm_source=instagram&amp;utm_medium=story&amp;utm_campaign=legami&amp;utm_content=trailer</x:v>
      </x:c>
      <x:c r="R159" s="81" t="str">
        <x:v>App Instagram</x:v>
      </x:c>
      <x:c r="S159" s="117" t="str">
        <x:v>Manuale</x:v>
      </x:c>
      <x:c r="T159" s="117" t="str">
        <x:v>Da fare</x:v>
      </x:c>
      <x:c r="U159" s="81" t="str">
        <x:v>La data lavoro è lo stesso giorno, 5 minuti prima. Testo adesivo: SCOPRI IL LIBRO.</x:v>
      </x:c>
      <x:c r="V159" s="81" t="str">
        <x:f>IF(AND(E159&lt;TODAY(),T159&lt;&gt;"Pubblicato"),"SÌ","")</x:f>
      </x:c>
    </x:row>
    <x:row r="160" ht="78" customHeight="1">
      <x:c r="A160" s="117" t="str">
        <x:v>T159</x:v>
      </x:c>
      <x:c r="B160" s="117" t="n">
        <x:v>12</x:v>
      </x:c>
      <x:c r="C160" s="118" t="n">
        <x:f>'CAMPAGNE'!F24</x:f>
        <x:v>46292</x:v>
      </x:c>
      <x:c r="D160" s="119" t="n">
        <x:v>0.75</x:v>
      </x:c>
      <x:c r="E160" s="120" t="n">
        <x:f>'CAMPAGNE'!I24</x:f>
        <x:v>46316</x:v>
      </x:c>
      <x:c r="F160" s="117" t="str">
        <x:f>CHOOSE(WEEKDAY(E160,2),"Lunedì","Martedì","Mercoledì","Giovedì","Venerdì","Sabato","Domenica")</x:f>
        <x:v>Mercoledì</x:v>
      </x:c>
      <x:c r="G160" s="119" t="n">
        <x:v>0.5</x:v>
      </x:c>
      <x:c r="H160" s="117" t="str">
        <x:v>Facebook</x:v>
      </x:c>
      <x:c r="I160" s="117" t="str">
        <x:v>Storia</x:v>
      </x:c>
      <x:c r="J160" s="81" t="str">
        <x:v>Legami</x:v>
      </x:c>
      <x:c r="K160" s="117" t="str">
        <x:v>TRAILER</x:v>
      </x:c>
      <x:c r="L160" s="81" t="str">
        <x:v>Legămi</x:v>
      </x:c>
      <x:c r="M160" s="81" t="str">
        <x:v>Crea una Storia della Pagina, carica l'immagine, aggiungi il link e programma.</x:v>
      </x:c>
      <x:c r="N160" s="81" t="str">
        <x:v>Legami_Social_Pack/04_STORIES/TRAILER_story.jpg</x:v>
      </x:c>
      <x:c r="O160" s="81" t="str">
        <x:v>Legami_Social_Pack/05_CAPTIONS/TRAILER_story_link.txt</x:v>
      </x:c>
      <x:c r="P160" s="81" t="str">
        <x:f>'TESTI'!N24</x:f>
        <x:v>Tocca SCOPRI IL LIBRO e scegli cartaceo o Kindle.</x:v>
      </x:c>
      <x:c r="Q160" s="81" t="str">
        <x:f>'TESTI'!I24</x:f>
        <x:v>https://diaridipelle.it/legami.html?utm_source=facebook&amp;utm_medium=story&amp;utm_campaign=legami&amp;utm_content=trailer</x:v>
      </x:c>
      <x:c r="R160" s="81" t="str">
        <x:v>Meta Business Suite</x:v>
      </x:c>
      <x:c r="S160" s="117" t="str">
        <x:v>Programmabile</x:v>
      </x:c>
      <x:c r="T160" s="117" t="str">
        <x:v>Da fare</x:v>
      </x:c>
      <x:c r="U160" s="81" t="str">
        <x:v>Controlla che la destinazione sia la Pagina Facebook.</x:v>
      </x:c>
      <x:c r="V160" s="81" t="str">
        <x:f>IF(AND(E160&lt;TODAY(),T160&lt;&gt;"Pubblicato"),"SÌ","")</x:f>
      </x:c>
    </x:row>
    <x:row r="161" ht="78" customHeight="1">
      <x:c r="A161" s="117" t="str">
        <x:v>T160</x:v>
      </x:c>
      <x:c r="B161" s="117" t="n">
        <x:v>12</x:v>
      </x:c>
      <x:c r="C161" s="118" t="n">
        <x:f>'CAMPAGNE'!F24</x:f>
        <x:v>46292</x:v>
      </x:c>
      <x:c r="D161" s="119" t="n">
        <x:v>0.75</x:v>
      </x:c>
      <x:c r="E161" s="120" t="n">
        <x:f>'CAMPAGNE'!J24</x:f>
        <x:v>46317</x:v>
      </x:c>
      <x:c r="F161" s="117" t="str">
        <x:f>CHOOSE(WEEKDAY(E161,2),"Lunedì","Martedì","Mercoledì","Giovedì","Venerdì","Sabato","Domenica")</x:f>
        <x:v>Giovedì</x:v>
      </x:c>
      <x:c r="G161" s="119" t="n">
        <x:v>0.8333333333333334</x:v>
      </x:c>
      <x:c r="H161" s="117" t="str">
        <x:v>Instagram</x:v>
      </x:c>
      <x:c r="I161" s="117" t="str">
        <x:v>Carosello</x:v>
      </x:c>
      <x:c r="J161" s="81" t="str">
        <x:v>Legami</x:v>
      </x:c>
      <x:c r="K161" s="117" t="str">
        <x:v>TRAILER</x:v>
      </x:c>
      <x:c r="L161" s="81" t="str">
        <x:v>Legămi</x:v>
      </x:c>
      <x:c r="M161" s="81" t="str">
        <x:v>Carica le tre immagini nell'ordine 01, 02, 03; incolla la caption e programma.</x:v>
      </x:c>
      <x:c r="N161" s="81" t="str">
        <x:v>Legami_Social_Pack/03_CAROUSELS/TRAILER/TRAILER_01.jpg
Legami_Social_Pack/03_CAROUSELS/TRAILER/TRAILER_02.jpg
Legami_Social_Pack/03_CAROUSELS/TRAILER/TRAILER_03.jpg</x:v>
      </x:c>
      <x:c r="O161" s="81" t="str">
        <x:v>Ordine obbligatorio: 01 → 02 → 03</x:v>
      </x:c>
      <x:c r="P161" s="81" t="str">
        <x:f>'TESTI'!E24</x:f>
        <x:v>Il desiderio sembrava libertà. Poi ha iniziato a chiedere il conto.
Legămi è il terzo volume di Diari di Pelle e il più oscuro della collana: dieci capitoli costruiti attorno a oggetti che diventano simboli di controllo, dipendenza, colpa, ritorno e perdita.
Il collare. La benda. Il guinzaglio. Il nodo. Il morso. Le redini. La catena. La chiave. La safe word. La sospensione.
Scopri il libro dal link nel profilo.
🛒 Amazon: https://www.amazon.it/dp/B0GZJR8FSJ
#DiariDiPelle #Legami #NarrativaItaliana #NarrativaPsicologica #BookstagramItalia</x:v>
      </x:c>
      <x:c r="Q161" s="81" t="str">
        <x:f>'TESTI'!J24</x:f>
        <x:v>https://diaridipelle.it/legami.html</x:v>
      </x:c>
      <x:c r="R161" s="81" t="str">
        <x:v>App Instagram</x:v>
      </x:c>
      <x:c r="S161" s="117" t="str">
        <x:v>Programmabile</x:v>
      </x:c>
      <x:c r="T161" s="117" t="str">
        <x:v>Da fare</x:v>
      </x:c>
      <x:c r="U161" s="81" t="str">
        <x:v>Verifica che nessuna slide sia tagliata. Il link è nel profilo.</x:v>
      </x:c>
      <x:c r="V161" s="81" t="str">
        <x:f>IF(AND(E161&lt;TODAY(),T161&lt;&gt;"Pubblicato"),"SÌ","")</x:f>
      </x:c>
    </x:row>
    <x:row r="162" ht="78" customHeight="1">
      <x:c r="A162" s="117" t="str">
        <x:v>T161</x:v>
      </x:c>
      <x:c r="B162" s="117" t="n">
        <x:v>12</x:v>
      </x:c>
      <x:c r="C162" s="118" t="n">
        <x:f>'CAMPAGNE'!F24</x:f>
        <x:v>46292</x:v>
      </x:c>
      <x:c r="D162" s="119" t="n">
        <x:v>0.75</x:v>
      </x:c>
      <x:c r="E162" s="120" t="n">
        <x:f>'CAMPAGNE'!J24</x:f>
        <x:v>46317</x:v>
      </x:c>
      <x:c r="F162" s="117" t="str">
        <x:f>CHOOSE(WEEKDAY(E162,2),"Lunedì","Martedì","Mercoledì","Giovedì","Venerdì","Sabato","Domenica")</x:f>
        <x:v>Giovedì</x:v>
      </x:c>
      <x:c r="G162" s="119" t="n">
        <x:v>0.8333333333333334</x:v>
      </x:c>
      <x:c r="H162" s="117" t="str">
        <x:v>Facebook</x:v>
      </x:c>
      <x:c r="I162" s="117" t="str">
        <x:v>Carosello</x:v>
      </x:c>
      <x:c r="J162" s="81" t="str">
        <x:v>Legami</x:v>
      </x:c>
      <x:c r="K162" s="117" t="str">
        <x:v>TRAILER</x:v>
      </x:c>
      <x:c r="L162" s="81" t="str">
        <x:v>Legămi</x:v>
      </x:c>
      <x:c r="M162" s="81" t="str">
        <x:v>Carica le tre immagini nell'ordine 01, 02, 03; incolla la caption e programma.</x:v>
      </x:c>
      <x:c r="N162" s="81" t="str">
        <x:v>Legami_Social_Pack/03_CAROUSELS/TRAILER/TRAILER_01.jpg
Legami_Social_Pack/03_CAROUSELS/TRAILER/TRAILER_02.jpg
Legami_Social_Pack/03_CAROUSELS/TRAILER/TRAILER_03.jpg</x:v>
      </x:c>
      <x:c r="O162" s="81" t="str">
        <x:v>Ordine obbligatorio: 01 → 02 → 03</x:v>
      </x:c>
      <x:c r="P162" s="81" t="str">
        <x:f>'TESTI'!F24</x:f>
        <x:v>Il desiderio sembrava libertà. Poi ha iniziato a chiedere il conto.
Legămi è il terzo volume di Diari di Pelle e il più oscuro della collana: dieci capitoli costruiti attorno a oggetti che diventano simboli di controllo, dipendenza, colpa, ritorno e perdita.
Il collare. La benda. Il guinzaglio. Il nodo. Il morso. Le redini. La catena. La chiave. La safe word. La sospensione.
Scopri il libro dal link nel profilo.
🌐 https://diaridipelle.it/legami.html
🛒 Amazon: https://www.amazon.it/dp/B0GZJR8FSJ
#DiariDiPelle #Legami #NarrativaItaliana #NarrativaPsicologica #BookstagramItalia</x:v>
      </x:c>
      <x:c r="Q162" s="81" t="str">
        <x:f>'TESTI'!J24</x:f>
        <x:v>https://diaridipelle.it/legami.html</x:v>
      </x:c>
      <x:c r="R162" s="81" t="str">
        <x:v>Meta Business Suite</x:v>
      </x:c>
      <x:c r="S162" s="117" t="str">
        <x:v>Programmabile</x:v>
      </x:c>
      <x:c r="T162" s="117" t="str">
        <x:v>Da fare</x:v>
      </x:c>
      <x:c r="U162" s="81" t="str">
        <x:v>Controlla ordine delle immagini e collegamenti nella caption.</x:v>
      </x:c>
      <x:c r="V162" s="81" t="str">
        <x:f>IF(AND(E162&lt;TODAY(),T162&lt;&gt;"Pubblicato"),"SÌ","")</x:f>
      </x:c>
    </x:row>
    <x:row r="163" ht="78" customHeight="1">
      <x:c r="A163" s="117" t="str">
        <x:v>T162</x:v>
      </x:c>
      <x:c r="B163" s="117" t="n">
        <x:v>12</x:v>
      </x:c>
      <x:c r="C163" s="118" t="n">
        <x:f>'CAMPAGNE'!F25</x:f>
        <x:v>46292</x:v>
      </x:c>
      <x:c r="D163" s="119" t="n">
        <x:v>0.75</x:v>
      </x:c>
      <x:c r="E163" s="120" t="n">
        <x:f>'CAMPAGNE'!H25</x:f>
        <x:v>46318</x:v>
      </x:c>
      <x:c r="F163" s="117" t="str">
        <x:f>CHOOSE(WEEKDAY(E163,2),"Lunedì","Martedì","Mercoledì","Giovedì","Venerdì","Sabato","Domenica")</x:f>
        <x:v>Venerdì</x:v>
      </x:c>
      <x:c r="G163" s="119" t="n">
        <x:v>0.8333333333333334</x:v>
      </x:c>
      <x:c r="H163" s="117" t="str">
        <x:v>Instagram</x:v>
      </x:c>
      <x:c r="I163" s="117" t="str">
        <x:v>Reel</x:v>
      </x:c>
      <x:c r="J163" s="81" t="str">
        <x:v>Legami</x:v>
      </x:c>
      <x:c r="K163" s="117" t="str">
        <x:v>CH01</x:v>
      </x:c>
      <x:c r="L163" s="81" t="str">
        <x:v>Il Collare</x:v>
      </x:c>
      <x:c r="M163" s="81" t="str">
        <x:v>Carica il video, imposta la copertina, incolla la caption e programma.</x:v>
      </x:c>
      <x:c r="N163" s="81" t="str">
        <x:v>Legami_Social_Pack/01_REELS/CH01_reel.mp4</x:v>
      </x:c>
      <x:c r="O163" s="81" t="str">
        <x:v>Legami_Social_Pack/02_REEL_COVERS/CH01_cover.jpg</x:v>
      </x:c>
      <x:c r="P163" s="81" t="str">
        <x:f>'TESTI'!E25</x:f>
        <x:v>Alle Cinque Terre, il desiderio rallenta al ritmo di una sola parola: langsam.
Ella sembra affidarsi, ma trasforma la resa in una forma sottile di potere. Lui crede di guidarla e scopre che il vero collare non è fatto di pelle o metallo: è il bisogno di sentirsi necessario, scelto, abbastanza.
Il primo capitolo di Legămi racconta il punto in cui il controllo cambia direzione senza fare rumore.
Continua dal link nel profilo.
🛒 Amazon: https://www.amazon.it/dp/B0GZJR8FSJ
#DiariDiPelle #Legami #IlCollare #CinqueTerre #NarrativaContemporanea</x:v>
      </x:c>
      <x:c r="Q163" s="81" t="str">
        <x:f>'TESTI'!J25</x:f>
        <x:v>https://diaridipelle.it/legami.html</x:v>
      </x:c>
      <x:c r="R163" s="81" t="str">
        <x:v>App Instagram</x:v>
      </x:c>
      <x:c r="S163" s="117" t="str">
        <x:v>Programmabile</x:v>
      </x:c>
      <x:c r="T163" s="117" t="str">
        <x:v>Da fare</x:v>
      </x:c>
      <x:c r="U163" s="81" t="str">
        <x:v>Controlla audio, ritaglio 9:16 e anteprima copertina. Il link è nel profilo.</x:v>
      </x:c>
      <x:c r="V163" s="81" t="str">
        <x:f>IF(AND(E163&lt;TODAY(),T163&lt;&gt;"Pubblicato"),"SÌ","")</x:f>
      </x:c>
    </x:row>
    <x:row r="164" ht="78" customHeight="1">
      <x:c r="A164" s="117" t="str">
        <x:v>T163</x:v>
      </x:c>
      <x:c r="B164" s="117" t="n">
        <x:v>12</x:v>
      </x:c>
      <x:c r="C164" s="118" t="n">
        <x:f>'CAMPAGNE'!F25</x:f>
        <x:v>46292</x:v>
      </x:c>
      <x:c r="D164" s="119" t="n">
        <x:v>0.75</x:v>
      </x:c>
      <x:c r="E164" s="120" t="n">
        <x:f>'CAMPAGNE'!H25</x:f>
        <x:v>46318</x:v>
      </x:c>
      <x:c r="F164" s="117" t="str">
        <x:f>CHOOSE(WEEKDAY(E164,2),"Lunedì","Martedì","Mercoledì","Giovedì","Venerdì","Sabato","Domenica")</x:f>
        <x:v>Venerdì</x:v>
      </x:c>
      <x:c r="G164" s="119" t="n">
        <x:v>0.8333333333333334</x:v>
      </x:c>
      <x:c r="H164" s="117" t="str">
        <x:v>Facebook</x:v>
      </x:c>
      <x:c r="I164" s="117" t="str">
        <x:v>Reel</x:v>
      </x:c>
      <x:c r="J164" s="81" t="str">
        <x:v>Legami</x:v>
      </x:c>
      <x:c r="K164" s="117" t="str">
        <x:v>CH01</x:v>
      </x:c>
      <x:c r="L164" s="81" t="str">
        <x:v>Il Collare</x:v>
      </x:c>
      <x:c r="M164" s="81" t="str">
        <x:v>Crea un Reel nella Pagina, carica video e copertina, incolla la caption e programma.</x:v>
      </x:c>
      <x:c r="N164" s="81" t="str">
        <x:v>Legami_Social_Pack/01_REELS/CH01_reel.mp4</x:v>
      </x:c>
      <x:c r="O164" s="81" t="str">
        <x:v>Legami_Social_Pack/02_REEL_COVERS/CH01_cover.jpg</x:v>
      </x:c>
      <x:c r="P164" s="81" t="str">
        <x:f>'TESTI'!F25</x:f>
        <x:v>Alle Cinque Terre, il desiderio rallenta al ritmo di una sola parola: langsam.
Ella sembra affidarsi, ma trasforma la resa in una forma sottile di potere. Lui crede di guidarla e scopre che il vero collare non è fatto di pelle o metallo: è il bisogno di sentirsi necessario, scelto, abbastanza.
Il primo capitolo di Legămi racconta il punto in cui il controllo cambia direzione senza fare rumore.
Continua dal link nel profilo.
🌐 https://diaridipelle.it/legami.html
🛒 Amazon: https://www.amazon.it/dp/B0GZJR8FSJ
#DiariDiPelle #Legami #IlCollare #CinqueTerre #NarrativaContemporanea</x:v>
      </x:c>
      <x:c r="Q164" s="81" t="str">
        <x:f>'TESTI'!J25</x:f>
        <x:v>https://diaridipelle.it/legami.html</x:v>
      </x:c>
      <x:c r="R164" s="81" t="str">
        <x:v>Meta Business Suite</x:v>
      </x:c>
      <x:c r="S164" s="117" t="str">
        <x:v>Programmabile</x:v>
      </x:c>
      <x:c r="T164" s="117" t="str">
        <x:v>Da fare</x:v>
      </x:c>
      <x:c r="U164" s="81" t="str">
        <x:v>Pubblica sulla Pagina Facebook. I collegamenti nella caption sono cliccabili.</x:v>
      </x:c>
      <x:c r="V164" s="81" t="str">
        <x:f>IF(AND(E164&lt;TODAY(),T164&lt;&gt;"Pubblicato"),"SÌ","")</x:f>
      </x:c>
    </x:row>
    <x:row r="165" ht="78" customHeight="1">
      <x:c r="A165" s="117" t="str">
        <x:v>T164</x:v>
      </x:c>
      <x:c r="B165" s="117" t="n">
        <x:v>12</x:v>
      </x:c>
      <x:c r="C165" s="118" t="n">
        <x:f>'CAMPAGNE'!G25</x:f>
        <x:v>46313</x:v>
      </x:c>
      <x:c r="D165" s="119" t="n">
        <x:v>0.75</x:v>
      </x:c>
      <x:c r="E165" s="120" t="n">
        <x:f>'CAMPAGNE'!H25</x:f>
        <x:v>46318</x:v>
      </x:c>
      <x:c r="F165" s="117" t="str">
        <x:f>CHOOSE(WEEKDAY(E165,2),"Lunedì","Martedì","Mercoledì","Giovedì","Venerdì","Sabato","Domenica")</x:f>
        <x:v>Venerdì</x:v>
      </x:c>
      <x:c r="G165" s="119" t="n">
        <x:v>0.8333333333333334</x:v>
      </x:c>
      <x:c r="H165" s="117" t="str">
        <x:v>TikTok</x:v>
      </x:c>
      <x:c r="I165" s="117" t="str">
        <x:v>Video</x:v>
      </x:c>
      <x:c r="J165" s="81" t="str">
        <x:v>Legami</x:v>
      </x:c>
      <x:c r="K165" s="117" t="str">
        <x:v>CH01</x:v>
      </x:c>
      <x:c r="L165" s="81" t="str">
        <x:v>Il Collare</x:v>
      </x:c>
      <x:c r="M165" s="81" t="str">
        <x:v>Carica il video in TikTok Studio, scegli la copertina, incolla la caption breve e programma.</x:v>
      </x:c>
      <x:c r="N165" s="81" t="str">
        <x:v>Legami_Social_Pack/01_REELS/CH01_reel.mp4</x:v>
      </x:c>
      <x:c r="O165" s="81" t="str">
        <x:v>Legami_Social_Pack/02_REEL_COVERS/CH01_cover.jpg</x:v>
      </x:c>
      <x:c r="P165" s="81" t="str">
        <x:f>'TESTI'!G25</x:f>
        <x:v>Alle Cinque Terre, il desiderio rallenta al ritmo di una sola parola: langsam.
«Il Collare» da Legami.
Scopri il libro dal link in bio.
#DiariDiPelle #Legami #BookTokItalia #LibriTikTok</x:v>
      </x:c>
      <x:c r="Q165" s="81" t="str">
        <x:f>'TESTI'!J25</x:f>
        <x:v>https://diaridipelle.it/legami.html</x:v>
      </x:c>
      <x:c r="R165" s="81" t="str">
        <x:v>TikTok Studio</x:v>
      </x:c>
      <x:c r="S165" s="117" t="str">
        <x:v>Programmabile entro 10 giorni</x:v>
      </x:c>
      <x:c r="T165" s="117" t="str">
        <x:v>Da fare</x:v>
      </x:c>
      <x:c r="U165" s="81" t="str">
        <x:v>Non aggiungere watermark. Controlla anteprima verticale e audio.</x:v>
      </x:c>
      <x:c r="V165" s="81" t="str">
        <x:f>IF(AND(E165&lt;TODAY(),T165&lt;&gt;"Pubblicato"),"SÌ","")</x:f>
      </x:c>
    </x:row>
    <x:row r="166" ht="78" customHeight="1">
      <x:c r="A166" s="117" t="str">
        <x:v>T165</x:v>
      </x:c>
      <x:c r="B166" s="117" t="n">
        <x:v>12</x:v>
      </x:c>
      <x:c r="C166" s="118" t="n">
        <x:f>'CAMPAGNE'!I25</x:f>
        <x:v>46319</x:v>
      </x:c>
      <x:c r="D166" s="119" t="n">
        <x:v>0.4965277777777778</x:v>
      </x:c>
      <x:c r="E166" s="120" t="n">
        <x:f>'CAMPAGNE'!I25</x:f>
        <x:v>46319</x:v>
      </x:c>
      <x:c r="F166" s="117" t="str">
        <x:f>CHOOSE(WEEKDAY(E166,2),"Lunedì","Martedì","Mercoledì","Giovedì","Venerdì","Sabato","Domenica")</x:f>
        <x:v>Sabato</x:v>
      </x:c>
      <x:c r="G166" s="119" t="n">
        <x:v>0.5</x:v>
      </x:c>
      <x:c r="H166" s="117" t="str">
        <x:v>Instagram</x:v>
      </x:c>
      <x:c r="I166" s="117" t="str">
        <x:v>Storia</x:v>
      </x:c>
      <x:c r="J166" s="81" t="str">
        <x:v>Legami</x:v>
      </x:c>
      <x:c r="K166" s="117" t="str">
        <x:v>CH01</x:v>
      </x:c>
      <x:c r="L166" s="81" t="str">
        <x:v>Il Collare</x:v>
      </x:c>
      <x:c r="M166" s="81" t="str">
        <x:v>Carica l'immagine, aggiungi l'adesivo Link e pubblica.</x:v>
      </x:c>
      <x:c r="N166" s="81" t="str">
        <x:v>Legami_Social_Pack/04_STORIES/CH01_story.jpg</x:v>
      </x:c>
      <x:c r="O166" s="81" t="str">
        <x:v>Legami_Social_Pack/05_CAPTIONS/CH01_story_link.txt</x:v>
      </x:c>
      <x:c r="P166" s="81" t="str">
        <x:f>'TESTI'!N25</x:f>
        <x:v>Tocca SCOPRI IL LIBRO e scegli cartaceo o Kindle.</x:v>
      </x:c>
      <x:c r="Q166" s="81" t="str">
        <x:f>'TESTI'!H25</x:f>
        <x:v>https://diaridipelle.it/legami.html?utm_source=instagram&amp;utm_medium=story&amp;utm_campaign=legami&amp;utm_content=ch01</x:v>
      </x:c>
      <x:c r="R166" s="81" t="str">
        <x:v>App Instagram</x:v>
      </x:c>
      <x:c r="S166" s="117" t="str">
        <x:v>Manuale</x:v>
      </x:c>
      <x:c r="T166" s="117" t="str">
        <x:v>Da fare</x:v>
      </x:c>
      <x:c r="U166" s="81" t="str">
        <x:v>La data lavoro è lo stesso giorno, 5 minuti prima. Testo adesivo: SCOPRI IL LIBRO.</x:v>
      </x:c>
      <x:c r="V166" s="81" t="str">
        <x:f>IF(AND(E166&lt;TODAY(),T166&lt;&gt;"Pubblicato"),"SÌ","")</x:f>
      </x:c>
    </x:row>
    <x:row r="167" ht="78" customHeight="1">
      <x:c r="A167" s="117" t="str">
        <x:v>T166</x:v>
      </x:c>
      <x:c r="B167" s="117" t="n">
        <x:v>12</x:v>
      </x:c>
      <x:c r="C167" s="118" t="n">
        <x:f>'CAMPAGNE'!F25</x:f>
        <x:v>46292</x:v>
      </x:c>
      <x:c r="D167" s="119" t="n">
        <x:v>0.75</x:v>
      </x:c>
      <x:c r="E167" s="120" t="n">
        <x:f>'CAMPAGNE'!I25</x:f>
        <x:v>46319</x:v>
      </x:c>
      <x:c r="F167" s="117" t="str">
        <x:f>CHOOSE(WEEKDAY(E167,2),"Lunedì","Martedì","Mercoledì","Giovedì","Venerdì","Sabato","Domenica")</x:f>
        <x:v>Sabato</x:v>
      </x:c>
      <x:c r="G167" s="119" t="n">
        <x:v>0.5</x:v>
      </x:c>
      <x:c r="H167" s="117" t="str">
        <x:v>Facebook</x:v>
      </x:c>
      <x:c r="I167" s="117" t="str">
        <x:v>Storia</x:v>
      </x:c>
      <x:c r="J167" s="81" t="str">
        <x:v>Legami</x:v>
      </x:c>
      <x:c r="K167" s="117" t="str">
        <x:v>CH01</x:v>
      </x:c>
      <x:c r="L167" s="81" t="str">
        <x:v>Il Collare</x:v>
      </x:c>
      <x:c r="M167" s="81" t="str">
        <x:v>Crea una Storia della Pagina, carica l'immagine, aggiungi il link e programma.</x:v>
      </x:c>
      <x:c r="N167" s="81" t="str">
        <x:v>Legami_Social_Pack/04_STORIES/CH01_story.jpg</x:v>
      </x:c>
      <x:c r="O167" s="81" t="str">
        <x:v>Legami_Social_Pack/05_CAPTIONS/CH01_story_link.txt</x:v>
      </x:c>
      <x:c r="P167" s="81" t="str">
        <x:f>'TESTI'!N25</x:f>
        <x:v>Tocca SCOPRI IL LIBRO e scegli cartaceo o Kindle.</x:v>
      </x:c>
      <x:c r="Q167" s="81" t="str">
        <x:f>'TESTI'!I25</x:f>
        <x:v>https://diaridipelle.it/legami.html?utm_source=facebook&amp;utm_medium=story&amp;utm_campaign=legami&amp;utm_content=ch01</x:v>
      </x:c>
      <x:c r="R167" s="81" t="str">
        <x:v>Meta Business Suite</x:v>
      </x:c>
      <x:c r="S167" s="117" t="str">
        <x:v>Programmabile</x:v>
      </x:c>
      <x:c r="T167" s="117" t="str">
        <x:v>Da fare</x:v>
      </x:c>
      <x:c r="U167" s="81" t="str">
        <x:v>Controlla che la destinazione sia la Pagina Facebook.</x:v>
      </x:c>
      <x:c r="V167" s="81" t="str">
        <x:f>IF(AND(E167&lt;TODAY(),T167&lt;&gt;"Pubblicato"),"SÌ","")</x:f>
      </x:c>
    </x:row>
    <x:row r="168" ht="78" customHeight="1">
      <x:c r="A168" s="117" t="str">
        <x:v>T167</x:v>
      </x:c>
      <x:c r="B168" s="117" t="n">
        <x:v>12</x:v>
      </x:c>
      <x:c r="C168" s="118" t="n">
        <x:f>'CAMPAGNE'!F25</x:f>
        <x:v>46292</x:v>
      </x:c>
      <x:c r="D168" s="119" t="n">
        <x:v>0.75</x:v>
      </x:c>
      <x:c r="E168" s="120" t="n">
        <x:f>'CAMPAGNE'!J25</x:f>
        <x:v>46320</x:v>
      </x:c>
      <x:c r="F168" s="117" t="str">
        <x:f>CHOOSE(WEEKDAY(E168,2),"Lunedì","Martedì","Mercoledì","Giovedì","Venerdì","Sabato","Domenica")</x:f>
        <x:v>Domenica</x:v>
      </x:c>
      <x:c r="G168" s="119" t="n">
        <x:v>0.4583333333333333</x:v>
      </x:c>
      <x:c r="H168" s="117" t="str">
        <x:v>Instagram</x:v>
      </x:c>
      <x:c r="I168" s="117" t="str">
        <x:v>Carosello</x:v>
      </x:c>
      <x:c r="J168" s="81" t="str">
        <x:v>Legami</x:v>
      </x:c>
      <x:c r="K168" s="117" t="str">
        <x:v>CH01</x:v>
      </x:c>
      <x:c r="L168" s="81" t="str">
        <x:v>Il Collare</x:v>
      </x:c>
      <x:c r="M168" s="81" t="str">
        <x:v>Carica le tre immagini nell'ordine 01, 02, 03; incolla la caption e programma.</x:v>
      </x:c>
      <x:c r="N168" s="81" t="str">
        <x:v>Legami_Social_Pack/03_CAROUSELS/CH01/CH01_01.jpg
Legami_Social_Pack/03_CAROUSELS/CH01/CH01_02.jpg
Legami_Social_Pack/03_CAROUSELS/CH01/CH01_03.jpg</x:v>
      </x:c>
      <x:c r="O168" s="81" t="str">
        <x:v>Ordine obbligatorio: 01 → 02 → 03</x:v>
      </x:c>
      <x:c r="P168" s="81" t="str">
        <x:f>'TESTI'!E25</x:f>
        <x:v>Alle Cinque Terre, il desiderio rallenta al ritmo di una sola parola: langsam.
Ella sembra affidarsi, ma trasforma la resa in una forma sottile di potere. Lui crede di guidarla e scopre che il vero collare non è fatto di pelle o metallo: è il bisogno di sentirsi necessario, scelto, abbastanza.
Il primo capitolo di Legămi racconta il punto in cui il controllo cambia direzione senza fare rumore.
Continua dal link nel profilo.
🛒 Amazon: https://www.amazon.it/dp/B0GZJR8FSJ
#DiariDiPelle #Legami #IlCollare #CinqueTerre #NarrativaContemporanea</x:v>
      </x:c>
      <x:c r="Q168" s="81" t="str">
        <x:f>'TESTI'!J25</x:f>
        <x:v>https://diaridipelle.it/legami.html</x:v>
      </x:c>
      <x:c r="R168" s="81" t="str">
        <x:v>App Instagram</x:v>
      </x:c>
      <x:c r="S168" s="117" t="str">
        <x:v>Programmabile</x:v>
      </x:c>
      <x:c r="T168" s="117" t="str">
        <x:v>Da fare</x:v>
      </x:c>
      <x:c r="U168" s="81" t="str">
        <x:v>Verifica che nessuna slide sia tagliata. Il link è nel profilo.</x:v>
      </x:c>
      <x:c r="V168" s="81" t="str">
        <x:f>IF(AND(E168&lt;TODAY(),T168&lt;&gt;"Pubblicato"),"SÌ","")</x:f>
      </x:c>
    </x:row>
    <x:row r="169" ht="78" customHeight="1">
      <x:c r="A169" s="117" t="str">
        <x:v>T168</x:v>
      </x:c>
      <x:c r="B169" s="117" t="n">
        <x:v>12</x:v>
      </x:c>
      <x:c r="C169" s="118" t="n">
        <x:f>'CAMPAGNE'!F25</x:f>
        <x:v>46292</x:v>
      </x:c>
      <x:c r="D169" s="119" t="n">
        <x:v>0.75</x:v>
      </x:c>
      <x:c r="E169" s="120" t="n">
        <x:f>'CAMPAGNE'!J25</x:f>
        <x:v>46320</x:v>
      </x:c>
      <x:c r="F169" s="117" t="str">
        <x:f>CHOOSE(WEEKDAY(E169,2),"Lunedì","Martedì","Mercoledì","Giovedì","Venerdì","Sabato","Domenica")</x:f>
        <x:v>Domenica</x:v>
      </x:c>
      <x:c r="G169" s="119" t="n">
        <x:v>0.4583333333333333</x:v>
      </x:c>
      <x:c r="H169" s="117" t="str">
        <x:v>Facebook</x:v>
      </x:c>
      <x:c r="I169" s="117" t="str">
        <x:v>Carosello</x:v>
      </x:c>
      <x:c r="J169" s="81" t="str">
        <x:v>Legami</x:v>
      </x:c>
      <x:c r="K169" s="117" t="str">
        <x:v>CH01</x:v>
      </x:c>
      <x:c r="L169" s="81" t="str">
        <x:v>Il Collare</x:v>
      </x:c>
      <x:c r="M169" s="81" t="str">
        <x:v>Carica le tre immagini nell'ordine 01, 02, 03; incolla la caption e programma.</x:v>
      </x:c>
      <x:c r="N169" s="81" t="str">
        <x:v>Legami_Social_Pack/03_CAROUSELS/CH01/CH01_01.jpg
Legami_Social_Pack/03_CAROUSELS/CH01/CH01_02.jpg
Legami_Social_Pack/03_CAROUSELS/CH01/CH01_03.jpg</x:v>
      </x:c>
      <x:c r="O169" s="81" t="str">
        <x:v>Ordine obbligatorio: 01 → 02 → 03</x:v>
      </x:c>
      <x:c r="P169" s="81" t="str">
        <x:f>'TESTI'!F25</x:f>
        <x:v>Alle Cinque Terre, il desiderio rallenta al ritmo di una sola parola: langsam.
Ella sembra affidarsi, ma trasforma la resa in una forma sottile di potere. Lui crede di guidarla e scopre che il vero collare non è fatto di pelle o metallo: è il bisogno di sentirsi necessario, scelto, abbastanza.
Il primo capitolo di Legămi racconta il punto in cui il controllo cambia direzione senza fare rumore.
Continua dal link nel profilo.
🌐 https://diaridipelle.it/legami.html
🛒 Amazon: https://www.amazon.it/dp/B0GZJR8FSJ
#DiariDiPelle #Legami #IlCollare #CinqueTerre #NarrativaContemporanea</x:v>
      </x:c>
      <x:c r="Q169" s="81" t="str">
        <x:f>'TESTI'!J25</x:f>
        <x:v>https://diaridipelle.it/legami.html</x:v>
      </x:c>
      <x:c r="R169" s="81" t="str">
        <x:v>Meta Business Suite</x:v>
      </x:c>
      <x:c r="S169" s="117" t="str">
        <x:v>Programmabile</x:v>
      </x:c>
      <x:c r="T169" s="117" t="str">
        <x:v>Da fare</x:v>
      </x:c>
      <x:c r="U169" s="81" t="str">
        <x:v>Controlla ordine delle immagini e collegamenti nella caption.</x:v>
      </x:c>
      <x:c r="V169" s="81" t="str">
        <x:f>IF(AND(E169&lt;TODAY(),T169&lt;&gt;"Pubblicato"),"SÌ","")</x:f>
      </x:c>
    </x:row>
    <x:row r="170" ht="78" customHeight="1">
      <x:c r="A170" s="117" t="str">
        <x:v>T169</x:v>
      </x:c>
      <x:c r="B170" s="117" t="n">
        <x:v>13</x:v>
      </x:c>
      <x:c r="C170" s="118" t="n">
        <x:f>'CAMPAGNE'!F26</x:f>
        <x:v>46320</x:v>
      </x:c>
      <x:c r="D170" s="119" t="n">
        <x:v>0.75</x:v>
      </x:c>
      <x:c r="E170" s="120" t="n">
        <x:f>'CAMPAGNE'!H26</x:f>
        <x:v>46322</x:v>
      </x:c>
      <x:c r="F170" s="117" t="str">
        <x:f>CHOOSE(WEEKDAY(E170,2),"Lunedì","Martedì","Mercoledì","Giovedì","Venerdì","Sabato","Domenica")</x:f>
        <x:v>Martedì</x:v>
      </x:c>
      <x:c r="G170" s="119" t="n">
        <x:v>0.8333333333333334</x:v>
      </x:c>
      <x:c r="H170" s="117" t="str">
        <x:v>Instagram</x:v>
      </x:c>
      <x:c r="I170" s="117" t="str">
        <x:v>Reel</x:v>
      </x:c>
      <x:c r="J170" s="81" t="str">
        <x:v>Legami</x:v>
      </x:c>
      <x:c r="K170" s="117" t="str">
        <x:v>CH02</x:v>
      </x:c>
      <x:c r="L170" s="81" t="str">
        <x:v>La Benda</x:v>
      </x:c>
      <x:c r="M170" s="81" t="str">
        <x:v>Carica il video, imposta la copertina, incolla la caption e programma.</x:v>
      </x:c>
      <x:c r="N170" s="81" t="str">
        <x:v>Legami_Social_Pack/01_REELS/CH02_reel.mp4</x:v>
      </x:c>
      <x:c r="O170" s="81" t="str">
        <x:v>Legami_Social_Pack/02_REEL_COVERS/CH02_cover.jpg</x:v>
      </x:c>
      <x:c r="P170" s="81" t="str">
        <x:f>'TESTI'!E26</x:f>
        <x:v>A Trier, Ella costruisce un compleanno perfetto: musica, eleganza, desiderio e una fiducia capace di sembrare assoluta.
La benda appartiene al gioco, ma la cecità è altrove. Accecato dalla bellezza di ciò che vive, lui sceglie di non vedere le piccole distanze e le crepe che stanno già prendendo forma.
La Benda è il secondo capitolo di Legămi: una notte perfetta osservata dalla luce sbagliata.
Scopri il libro dal link nel profilo.
🛒 Amazon: https://www.amazon.it/dp/B0GZJR8FSJ
#DiariDiPelle #Legami #LaBenda #Trier #NarrativaPsicologica</x:v>
      </x:c>
      <x:c r="Q170" s="81" t="str">
        <x:f>'TESTI'!J26</x:f>
        <x:v>https://diaridipelle.it/legami.html</x:v>
      </x:c>
      <x:c r="R170" s="81" t="str">
        <x:v>App Instagram</x:v>
      </x:c>
      <x:c r="S170" s="117" t="str">
        <x:v>Programmabile</x:v>
      </x:c>
      <x:c r="T170" s="117" t="str">
        <x:v>Da fare</x:v>
      </x:c>
      <x:c r="U170" s="81" t="str">
        <x:v>Controlla audio, ritaglio 9:16 e anteprima copertina. Il link è nel profilo.</x:v>
      </x:c>
      <x:c r="V170" s="81" t="str">
        <x:f>IF(AND(E170&lt;TODAY(),T170&lt;&gt;"Pubblicato"),"SÌ","")</x:f>
      </x:c>
    </x:row>
    <x:row r="171" ht="78" customHeight="1">
      <x:c r="A171" s="117" t="str">
        <x:v>T170</x:v>
      </x:c>
      <x:c r="B171" s="117" t="n">
        <x:v>13</x:v>
      </x:c>
      <x:c r="C171" s="118" t="n">
        <x:f>'CAMPAGNE'!F26</x:f>
        <x:v>46320</x:v>
      </x:c>
      <x:c r="D171" s="119" t="n">
        <x:v>0.75</x:v>
      </x:c>
      <x:c r="E171" s="120" t="n">
        <x:f>'CAMPAGNE'!H26</x:f>
        <x:v>46322</x:v>
      </x:c>
      <x:c r="F171" s="117" t="str">
        <x:f>CHOOSE(WEEKDAY(E171,2),"Lunedì","Martedì","Mercoledì","Giovedì","Venerdì","Sabato","Domenica")</x:f>
        <x:v>Martedì</x:v>
      </x:c>
      <x:c r="G171" s="119" t="n">
        <x:v>0.8333333333333334</x:v>
      </x:c>
      <x:c r="H171" s="117" t="str">
        <x:v>Facebook</x:v>
      </x:c>
      <x:c r="I171" s="117" t="str">
        <x:v>Reel</x:v>
      </x:c>
      <x:c r="J171" s="81" t="str">
        <x:v>Legami</x:v>
      </x:c>
      <x:c r="K171" s="117" t="str">
        <x:v>CH02</x:v>
      </x:c>
      <x:c r="L171" s="81" t="str">
        <x:v>La Benda</x:v>
      </x:c>
      <x:c r="M171" s="81" t="str">
        <x:v>Crea un Reel nella Pagina, carica video e copertina, incolla la caption e programma.</x:v>
      </x:c>
      <x:c r="N171" s="81" t="str">
        <x:v>Legami_Social_Pack/01_REELS/CH02_reel.mp4</x:v>
      </x:c>
      <x:c r="O171" s="81" t="str">
        <x:v>Legami_Social_Pack/02_REEL_COVERS/CH02_cover.jpg</x:v>
      </x:c>
      <x:c r="P171" s="81" t="str">
        <x:f>'TESTI'!F26</x:f>
        <x:v>A Trier, Ella costruisce un compleanno perfetto: musica, eleganza, desiderio e una fiducia capace di sembrare assoluta.
La benda appartiene al gioco, ma la cecità è altrove. Accecato dalla bellezza di ciò che vive, lui sceglie di non vedere le piccole distanze e le crepe che stanno già prendendo forma.
La Benda è il secondo capitolo di Legămi: una notte perfetta osservata dalla luce sbagliata.
Scopri il libro dal link nel profilo.
🌐 https://diaridipelle.it/legami.html
🛒 Amazon: https://www.amazon.it/dp/B0GZJR8FSJ
#DiariDiPelle #Legami #LaBenda #Trier #NarrativaPsicologica</x:v>
      </x:c>
      <x:c r="Q171" s="81" t="str">
        <x:f>'TESTI'!J26</x:f>
        <x:v>https://diaridipelle.it/legami.html</x:v>
      </x:c>
      <x:c r="R171" s="81" t="str">
        <x:v>Meta Business Suite</x:v>
      </x:c>
      <x:c r="S171" s="117" t="str">
        <x:v>Programmabile</x:v>
      </x:c>
      <x:c r="T171" s="117" t="str">
        <x:v>Da fare</x:v>
      </x:c>
      <x:c r="U171" s="81" t="str">
        <x:v>Pubblica sulla Pagina Facebook. I collegamenti nella caption sono cliccabili.</x:v>
      </x:c>
      <x:c r="V171" s="81" t="str">
        <x:f>IF(AND(E171&lt;TODAY(),T171&lt;&gt;"Pubblicato"),"SÌ","")</x:f>
      </x:c>
    </x:row>
    <x:row r="172" ht="78" customHeight="1">
      <x:c r="A172" s="117" t="str">
        <x:v>T171</x:v>
      </x:c>
      <x:c r="B172" s="117" t="n">
        <x:v>13</x:v>
      </x:c>
      <x:c r="C172" s="118" t="n">
        <x:f>'CAMPAGNE'!G26</x:f>
        <x:v>46320</x:v>
      </x:c>
      <x:c r="D172" s="119" t="n">
        <x:v>0.75</x:v>
      </x:c>
      <x:c r="E172" s="120" t="n">
        <x:f>'CAMPAGNE'!H26</x:f>
        <x:v>46322</x:v>
      </x:c>
      <x:c r="F172" s="117" t="str">
        <x:f>CHOOSE(WEEKDAY(E172,2),"Lunedì","Martedì","Mercoledì","Giovedì","Venerdì","Sabato","Domenica")</x:f>
        <x:v>Martedì</x:v>
      </x:c>
      <x:c r="G172" s="119" t="n">
        <x:v>0.8333333333333334</x:v>
      </x:c>
      <x:c r="H172" s="117" t="str">
        <x:v>TikTok</x:v>
      </x:c>
      <x:c r="I172" s="117" t="str">
        <x:v>Video</x:v>
      </x:c>
      <x:c r="J172" s="81" t="str">
        <x:v>Legami</x:v>
      </x:c>
      <x:c r="K172" s="117" t="str">
        <x:v>CH02</x:v>
      </x:c>
      <x:c r="L172" s="81" t="str">
        <x:v>La Benda</x:v>
      </x:c>
      <x:c r="M172" s="81" t="str">
        <x:v>Carica il video in TikTok Studio, scegli la copertina, incolla la caption breve e programma.</x:v>
      </x:c>
      <x:c r="N172" s="81" t="str">
        <x:v>Legami_Social_Pack/01_REELS/CH02_reel.mp4</x:v>
      </x:c>
      <x:c r="O172" s="81" t="str">
        <x:v>Legami_Social_Pack/02_REEL_COVERS/CH02_cover.jpg</x:v>
      </x:c>
      <x:c r="P172" s="81" t="str">
        <x:f>'TESTI'!G26</x:f>
        <x:v>A Trier, Ella costruisce un compleanno perfetto: musica, eleganza, desiderio e una fiducia capace di sembrare assoluta.
«La Benda» da Legami.
Scopri il libro dal link in bio.
#DiariDiPelle #Legami #BookTokItalia #LibriTikTok</x:v>
      </x:c>
      <x:c r="Q172" s="81" t="str">
        <x:f>'TESTI'!J26</x:f>
        <x:v>https://diaridipelle.it/legami.html</x:v>
      </x:c>
      <x:c r="R172" s="81" t="str">
        <x:v>TikTok Studio</x:v>
      </x:c>
      <x:c r="S172" s="117" t="str">
        <x:v>Programmabile entro 10 giorni</x:v>
      </x:c>
      <x:c r="T172" s="117" t="str">
        <x:v>Da fare</x:v>
      </x:c>
      <x:c r="U172" s="81" t="str">
        <x:v>Non aggiungere watermark. Controlla anteprima verticale e audio.</x:v>
      </x:c>
      <x:c r="V172" s="81" t="str">
        <x:f>IF(AND(E172&lt;TODAY(),T172&lt;&gt;"Pubblicato"),"SÌ","")</x:f>
      </x:c>
    </x:row>
    <x:row r="173" ht="78" customHeight="1">
      <x:c r="A173" s="117" t="str">
        <x:v>T172</x:v>
      </x:c>
      <x:c r="B173" s="117" t="n">
        <x:v>13</x:v>
      </x:c>
      <x:c r="C173" s="118" t="n">
        <x:f>'CAMPAGNE'!I26</x:f>
        <x:v>46323</x:v>
      </x:c>
      <x:c r="D173" s="119" t="n">
        <x:v>0.4965277777777778</x:v>
      </x:c>
      <x:c r="E173" s="120" t="n">
        <x:f>'CAMPAGNE'!I26</x:f>
        <x:v>46323</x:v>
      </x:c>
      <x:c r="F173" s="117" t="str">
        <x:f>CHOOSE(WEEKDAY(E173,2),"Lunedì","Martedì","Mercoledì","Giovedì","Venerdì","Sabato","Domenica")</x:f>
        <x:v>Mercoledì</x:v>
      </x:c>
      <x:c r="G173" s="119" t="n">
        <x:v>0.5</x:v>
      </x:c>
      <x:c r="H173" s="117" t="str">
        <x:v>Instagram</x:v>
      </x:c>
      <x:c r="I173" s="117" t="str">
        <x:v>Storia</x:v>
      </x:c>
      <x:c r="J173" s="81" t="str">
        <x:v>Legami</x:v>
      </x:c>
      <x:c r="K173" s="117" t="str">
        <x:v>CH02</x:v>
      </x:c>
      <x:c r="L173" s="81" t="str">
        <x:v>La Benda</x:v>
      </x:c>
      <x:c r="M173" s="81" t="str">
        <x:v>Carica l'immagine, aggiungi l'adesivo Link e pubblica.</x:v>
      </x:c>
      <x:c r="N173" s="81" t="str">
        <x:v>Legami_Social_Pack/04_STORIES/CH02_story.jpg</x:v>
      </x:c>
      <x:c r="O173" s="81" t="str">
        <x:v>Legami_Social_Pack/05_CAPTIONS/CH02_story_link.txt</x:v>
      </x:c>
      <x:c r="P173" s="81" t="str">
        <x:f>'TESTI'!N26</x:f>
        <x:v>Tocca SCOPRI IL LIBRO e scegli cartaceo o Kindle.</x:v>
      </x:c>
      <x:c r="Q173" s="81" t="str">
        <x:f>'TESTI'!H26</x:f>
        <x:v>https://diaridipelle.it/legami.html?utm_source=instagram&amp;utm_medium=story&amp;utm_campaign=legami&amp;utm_content=ch02</x:v>
      </x:c>
      <x:c r="R173" s="81" t="str">
        <x:v>App Instagram</x:v>
      </x:c>
      <x:c r="S173" s="117" t="str">
        <x:v>Manuale</x:v>
      </x:c>
      <x:c r="T173" s="117" t="str">
        <x:v>Da fare</x:v>
      </x:c>
      <x:c r="U173" s="81" t="str">
        <x:v>La data lavoro è lo stesso giorno, 5 minuti prima. Testo adesivo: SCOPRI IL LIBRO.</x:v>
      </x:c>
      <x:c r="V173" s="81" t="str">
        <x:f>IF(AND(E173&lt;TODAY(),T173&lt;&gt;"Pubblicato"),"SÌ","")</x:f>
      </x:c>
    </x:row>
    <x:row r="174" ht="78" customHeight="1">
      <x:c r="A174" s="117" t="str">
        <x:v>T173</x:v>
      </x:c>
      <x:c r="B174" s="117" t="n">
        <x:v>13</x:v>
      </x:c>
      <x:c r="C174" s="118" t="n">
        <x:f>'CAMPAGNE'!F26</x:f>
        <x:v>46320</x:v>
      </x:c>
      <x:c r="D174" s="119" t="n">
        <x:v>0.75</x:v>
      </x:c>
      <x:c r="E174" s="120" t="n">
        <x:f>'CAMPAGNE'!I26</x:f>
        <x:v>46323</x:v>
      </x:c>
      <x:c r="F174" s="117" t="str">
        <x:f>CHOOSE(WEEKDAY(E174,2),"Lunedì","Martedì","Mercoledì","Giovedì","Venerdì","Sabato","Domenica")</x:f>
        <x:v>Mercoledì</x:v>
      </x:c>
      <x:c r="G174" s="119" t="n">
        <x:v>0.5</x:v>
      </x:c>
      <x:c r="H174" s="117" t="str">
        <x:v>Facebook</x:v>
      </x:c>
      <x:c r="I174" s="117" t="str">
        <x:v>Storia</x:v>
      </x:c>
      <x:c r="J174" s="81" t="str">
        <x:v>Legami</x:v>
      </x:c>
      <x:c r="K174" s="117" t="str">
        <x:v>CH02</x:v>
      </x:c>
      <x:c r="L174" s="81" t="str">
        <x:v>La Benda</x:v>
      </x:c>
      <x:c r="M174" s="81" t="str">
        <x:v>Crea una Storia della Pagina, carica l'immagine, aggiungi il link e programma.</x:v>
      </x:c>
      <x:c r="N174" s="81" t="str">
        <x:v>Legami_Social_Pack/04_STORIES/CH02_story.jpg</x:v>
      </x:c>
      <x:c r="O174" s="81" t="str">
        <x:v>Legami_Social_Pack/05_CAPTIONS/CH02_story_link.txt</x:v>
      </x:c>
      <x:c r="P174" s="81" t="str">
        <x:f>'TESTI'!N26</x:f>
        <x:v>Tocca SCOPRI IL LIBRO e scegli cartaceo o Kindle.</x:v>
      </x:c>
      <x:c r="Q174" s="81" t="str">
        <x:f>'TESTI'!I26</x:f>
        <x:v>https://diaridipelle.it/legami.html?utm_source=facebook&amp;utm_medium=story&amp;utm_campaign=legami&amp;utm_content=ch02</x:v>
      </x:c>
      <x:c r="R174" s="81" t="str">
        <x:v>Meta Business Suite</x:v>
      </x:c>
      <x:c r="S174" s="117" t="str">
        <x:v>Programmabile</x:v>
      </x:c>
      <x:c r="T174" s="117" t="str">
        <x:v>Da fare</x:v>
      </x:c>
      <x:c r="U174" s="81" t="str">
        <x:v>Controlla che la destinazione sia la Pagina Facebook.</x:v>
      </x:c>
      <x:c r="V174" s="81" t="str">
        <x:f>IF(AND(E174&lt;TODAY(),T174&lt;&gt;"Pubblicato"),"SÌ","")</x:f>
      </x:c>
    </x:row>
    <x:row r="175" ht="78" customHeight="1">
      <x:c r="A175" s="117" t="str">
        <x:v>T174</x:v>
      </x:c>
      <x:c r="B175" s="117" t="n">
        <x:v>13</x:v>
      </x:c>
      <x:c r="C175" s="118" t="n">
        <x:f>'CAMPAGNE'!F26</x:f>
        <x:v>46320</x:v>
      </x:c>
      <x:c r="D175" s="119" t="n">
        <x:v>0.75</x:v>
      </x:c>
      <x:c r="E175" s="120" t="n">
        <x:f>'CAMPAGNE'!J26</x:f>
        <x:v>46324</x:v>
      </x:c>
      <x:c r="F175" s="117" t="str">
        <x:f>CHOOSE(WEEKDAY(E175,2),"Lunedì","Martedì","Mercoledì","Giovedì","Venerdì","Sabato","Domenica")</x:f>
        <x:v>Giovedì</x:v>
      </x:c>
      <x:c r="G175" s="119" t="n">
        <x:v>0.8333333333333334</x:v>
      </x:c>
      <x:c r="H175" s="117" t="str">
        <x:v>Instagram</x:v>
      </x:c>
      <x:c r="I175" s="117" t="str">
        <x:v>Carosello</x:v>
      </x:c>
      <x:c r="J175" s="81" t="str">
        <x:v>Legami</x:v>
      </x:c>
      <x:c r="K175" s="117" t="str">
        <x:v>CH02</x:v>
      </x:c>
      <x:c r="L175" s="81" t="str">
        <x:v>La Benda</x:v>
      </x:c>
      <x:c r="M175" s="81" t="str">
        <x:v>Carica le tre immagini nell'ordine 01, 02, 03; incolla la caption e programma.</x:v>
      </x:c>
      <x:c r="N175" s="81" t="str">
        <x:v>Legami_Social_Pack/03_CAROUSELS/CH02/CH02_01.jpg
Legami_Social_Pack/03_CAROUSELS/CH02/CH02_02.jpg
Legami_Social_Pack/03_CAROUSELS/CH02/CH02_03.jpg</x:v>
      </x:c>
      <x:c r="O175" s="81" t="str">
        <x:v>Ordine obbligatorio: 01 → 02 → 03</x:v>
      </x:c>
      <x:c r="P175" s="81" t="str">
        <x:f>'TESTI'!E26</x:f>
        <x:v>A Trier, Ella costruisce un compleanno perfetto: musica, eleganza, desiderio e una fiducia capace di sembrare assoluta.
La benda appartiene al gioco, ma la cecità è altrove. Accecato dalla bellezza di ciò che vive, lui sceglie di non vedere le piccole distanze e le crepe che stanno già prendendo forma.
La Benda è il secondo capitolo di Legămi: una notte perfetta osservata dalla luce sbagliata.
Scopri il libro dal link nel profilo.
🛒 Amazon: https://www.amazon.it/dp/B0GZJR8FSJ
#DiariDiPelle #Legami #LaBenda #Trier #NarrativaPsicologica</x:v>
      </x:c>
      <x:c r="Q175" s="81" t="str">
        <x:f>'TESTI'!J26</x:f>
        <x:v>https://diaridipelle.it/legami.html</x:v>
      </x:c>
      <x:c r="R175" s="81" t="str">
        <x:v>App Instagram</x:v>
      </x:c>
      <x:c r="S175" s="117" t="str">
        <x:v>Programmabile</x:v>
      </x:c>
      <x:c r="T175" s="117" t="str">
        <x:v>Da fare</x:v>
      </x:c>
      <x:c r="U175" s="81" t="str">
        <x:v>Verifica che nessuna slide sia tagliata. Il link è nel profilo.</x:v>
      </x:c>
      <x:c r="V175" s="81" t="str">
        <x:f>IF(AND(E175&lt;TODAY(),T175&lt;&gt;"Pubblicato"),"SÌ","")</x:f>
      </x:c>
    </x:row>
    <x:row r="176" ht="78" customHeight="1">
      <x:c r="A176" s="117" t="str">
        <x:v>T175</x:v>
      </x:c>
      <x:c r="B176" s="117" t="n">
        <x:v>13</x:v>
      </x:c>
      <x:c r="C176" s="118" t="n">
        <x:f>'CAMPAGNE'!F26</x:f>
        <x:v>46320</x:v>
      </x:c>
      <x:c r="D176" s="119" t="n">
        <x:v>0.75</x:v>
      </x:c>
      <x:c r="E176" s="120" t="n">
        <x:f>'CAMPAGNE'!J26</x:f>
        <x:v>46324</x:v>
      </x:c>
      <x:c r="F176" s="117" t="str">
        <x:f>CHOOSE(WEEKDAY(E176,2),"Lunedì","Martedì","Mercoledì","Giovedì","Venerdì","Sabato","Domenica")</x:f>
        <x:v>Giovedì</x:v>
      </x:c>
      <x:c r="G176" s="119" t="n">
        <x:v>0.8333333333333334</x:v>
      </x:c>
      <x:c r="H176" s="117" t="str">
        <x:v>Facebook</x:v>
      </x:c>
      <x:c r="I176" s="117" t="str">
        <x:v>Carosello</x:v>
      </x:c>
      <x:c r="J176" s="81" t="str">
        <x:v>Legami</x:v>
      </x:c>
      <x:c r="K176" s="117" t="str">
        <x:v>CH02</x:v>
      </x:c>
      <x:c r="L176" s="81" t="str">
        <x:v>La Benda</x:v>
      </x:c>
      <x:c r="M176" s="81" t="str">
        <x:v>Carica le tre immagini nell'ordine 01, 02, 03; incolla la caption e programma.</x:v>
      </x:c>
      <x:c r="N176" s="81" t="str">
        <x:v>Legami_Social_Pack/03_CAROUSELS/CH02/CH02_01.jpg
Legami_Social_Pack/03_CAROUSELS/CH02/CH02_02.jpg
Legami_Social_Pack/03_CAROUSELS/CH02/CH02_03.jpg</x:v>
      </x:c>
      <x:c r="O176" s="81" t="str">
        <x:v>Ordine obbligatorio: 01 → 02 → 03</x:v>
      </x:c>
      <x:c r="P176" s="81" t="str">
        <x:f>'TESTI'!F26</x:f>
        <x:v>A Trier, Ella costruisce un compleanno perfetto: musica, eleganza, desiderio e una fiducia capace di sembrare assoluta.
La benda appartiene al gioco, ma la cecità è altrove. Accecato dalla bellezza di ciò che vive, lui sceglie di non vedere le piccole distanze e le crepe che stanno già prendendo forma.
La Benda è il secondo capitolo di Legămi: una notte perfetta osservata dalla luce sbagliata.
Scopri il libro dal link nel profilo.
🌐 https://diaridipelle.it/legami.html
🛒 Amazon: https://www.amazon.it/dp/B0GZJR8FSJ
#DiariDiPelle #Legami #LaBenda #Trier #NarrativaPsicologica</x:v>
      </x:c>
      <x:c r="Q176" s="81" t="str">
        <x:f>'TESTI'!J26</x:f>
        <x:v>https://diaridipelle.it/legami.html</x:v>
      </x:c>
      <x:c r="R176" s="81" t="str">
        <x:v>Meta Business Suite</x:v>
      </x:c>
      <x:c r="S176" s="117" t="str">
        <x:v>Programmabile</x:v>
      </x:c>
      <x:c r="T176" s="117" t="str">
        <x:v>Da fare</x:v>
      </x:c>
      <x:c r="U176" s="81" t="str">
        <x:v>Controlla ordine delle immagini e collegamenti nella caption.</x:v>
      </x:c>
      <x:c r="V176" s="81" t="str">
        <x:f>IF(AND(E176&lt;TODAY(),T176&lt;&gt;"Pubblicato"),"SÌ","")</x:f>
      </x:c>
    </x:row>
    <x:row r="177" ht="78" customHeight="1">
      <x:c r="A177" s="117" t="str">
        <x:v>T176</x:v>
      </x:c>
      <x:c r="B177" s="117" t="n">
        <x:v>13</x:v>
      </x:c>
      <x:c r="C177" s="118" t="n">
        <x:f>'CAMPAGNE'!F27</x:f>
        <x:v>46320</x:v>
      </x:c>
      <x:c r="D177" s="119" t="n">
        <x:v>0.75</x:v>
      </x:c>
      <x:c r="E177" s="120" t="n">
        <x:f>'CAMPAGNE'!H27</x:f>
        <x:v>46325</x:v>
      </x:c>
      <x:c r="F177" s="117" t="str">
        <x:f>CHOOSE(WEEKDAY(E177,2),"Lunedì","Martedì","Mercoledì","Giovedì","Venerdì","Sabato","Domenica")</x:f>
        <x:v>Venerdì</x:v>
      </x:c>
      <x:c r="G177" s="119" t="n">
        <x:v>0.8333333333333334</x:v>
      </x:c>
      <x:c r="H177" s="117" t="str">
        <x:v>Instagram</x:v>
      </x:c>
      <x:c r="I177" s="117" t="str">
        <x:v>Reel</x:v>
      </x:c>
      <x:c r="J177" s="81" t="str">
        <x:v>Legami</x:v>
      </x:c>
      <x:c r="K177" s="117" t="str">
        <x:v>CH03</x:v>
      </x:c>
      <x:c r="L177" s="81" t="str">
        <x:v>Il Guinzaglio</x:v>
      </x:c>
      <x:c r="M177" s="81" t="str">
        <x:v>Carica il video, imposta la copertina, incolla la caption e programma.</x:v>
      </x:c>
      <x:c r="N177" s="81" t="str">
        <x:v>Legami_Social_Pack/01_REELS/CH03_reel.mp4</x:v>
      </x:c>
      <x:c r="O177" s="81" t="str">
        <x:v>Legami_Social_Pack/02_REEL_COVERS/CH03_cover.jpg</x:v>
      </x:c>
      <x:c r="P177" s="81" t="str">
        <x:f>'TESTI'!E27</x:f>
        <x:v>A Padova, Virginia ritorna mentre Ella continua a vivere in ogni fantasia.
Un bacio sul Piovego dovrebbe dimostrare che la libertà esiste ancora. Invece rivela una gabbia più profonda: qualunque donna venga desiderata passa ormai attraverso il filtro di un'altra.
Il Guinzaglio racconta quando un legame non impedisce agli altri corpi di esistere, ma li rende più colpevoli e più difficili da toccare.
Leggi Legămi dal link nel profilo.
🛒 Amazon: https://www.amazon.it/dp/B0GZJR8FSJ
#DiariDiPelle #Legami #IlGuinzaglio #Padova #DipendenzaAffettiva</x:v>
      </x:c>
      <x:c r="Q177" s="81" t="str">
        <x:f>'TESTI'!J27</x:f>
        <x:v>https://diaridipelle.it/legami.html</x:v>
      </x:c>
      <x:c r="R177" s="81" t="str">
        <x:v>App Instagram</x:v>
      </x:c>
      <x:c r="S177" s="117" t="str">
        <x:v>Programmabile</x:v>
      </x:c>
      <x:c r="T177" s="117" t="str">
        <x:v>Da fare</x:v>
      </x:c>
      <x:c r="U177" s="81" t="str">
        <x:v>Controlla audio, ritaglio 9:16 e anteprima copertina. Il link è nel profilo.</x:v>
      </x:c>
      <x:c r="V177" s="81" t="str">
        <x:f>IF(AND(E177&lt;TODAY(),T177&lt;&gt;"Pubblicato"),"SÌ","")</x:f>
      </x:c>
    </x:row>
    <x:row r="178" ht="78" customHeight="1">
      <x:c r="A178" s="117" t="str">
        <x:v>T177</x:v>
      </x:c>
      <x:c r="B178" s="117" t="n">
        <x:v>13</x:v>
      </x:c>
      <x:c r="C178" s="118" t="n">
        <x:f>'CAMPAGNE'!F27</x:f>
        <x:v>46320</x:v>
      </x:c>
      <x:c r="D178" s="119" t="n">
        <x:v>0.75</x:v>
      </x:c>
      <x:c r="E178" s="120" t="n">
        <x:f>'CAMPAGNE'!H27</x:f>
        <x:v>46325</x:v>
      </x:c>
      <x:c r="F178" s="117" t="str">
        <x:f>CHOOSE(WEEKDAY(E178,2),"Lunedì","Martedì","Mercoledì","Giovedì","Venerdì","Sabato","Domenica")</x:f>
        <x:v>Venerdì</x:v>
      </x:c>
      <x:c r="G178" s="119" t="n">
        <x:v>0.8333333333333334</x:v>
      </x:c>
      <x:c r="H178" s="117" t="str">
        <x:v>Facebook</x:v>
      </x:c>
      <x:c r="I178" s="117" t="str">
        <x:v>Reel</x:v>
      </x:c>
      <x:c r="J178" s="81" t="str">
        <x:v>Legami</x:v>
      </x:c>
      <x:c r="K178" s="117" t="str">
        <x:v>CH03</x:v>
      </x:c>
      <x:c r="L178" s="81" t="str">
        <x:v>Il Guinzaglio</x:v>
      </x:c>
      <x:c r="M178" s="81" t="str">
        <x:v>Crea un Reel nella Pagina, carica video e copertina, incolla la caption e programma.</x:v>
      </x:c>
      <x:c r="N178" s="81" t="str">
        <x:v>Legami_Social_Pack/01_REELS/CH03_reel.mp4</x:v>
      </x:c>
      <x:c r="O178" s="81" t="str">
        <x:v>Legami_Social_Pack/02_REEL_COVERS/CH03_cover.jpg</x:v>
      </x:c>
      <x:c r="P178" s="81" t="str">
        <x:f>'TESTI'!F27</x:f>
        <x:v>A Padova, Virginia ritorna mentre Ella continua a vivere in ogni fantasia.
Un bacio sul Piovego dovrebbe dimostrare che la libertà esiste ancora. Invece rivela una gabbia più profonda: qualunque donna venga desiderata passa ormai attraverso il filtro di un'altra.
Il Guinzaglio racconta quando un legame non impedisce agli altri corpi di esistere, ma li rende più colpevoli e più difficili da toccare.
Leggi Legămi dal link nel profilo.
🌐 https://diaridipelle.it/legami.html
🛒 Amazon: https://www.amazon.it/dp/B0GZJR8FSJ
#DiariDiPelle #Legami #IlGuinzaglio #Padova #DipendenzaAffettiva</x:v>
      </x:c>
      <x:c r="Q178" s="81" t="str">
        <x:f>'TESTI'!J27</x:f>
        <x:v>https://diaridipelle.it/legami.html</x:v>
      </x:c>
      <x:c r="R178" s="81" t="str">
        <x:v>Meta Business Suite</x:v>
      </x:c>
      <x:c r="S178" s="117" t="str">
        <x:v>Programmabile</x:v>
      </x:c>
      <x:c r="T178" s="117" t="str">
        <x:v>Da fare</x:v>
      </x:c>
      <x:c r="U178" s="81" t="str">
        <x:v>Pubblica sulla Pagina Facebook. I collegamenti nella caption sono cliccabili.</x:v>
      </x:c>
      <x:c r="V178" s="81" t="str">
        <x:f>IF(AND(E178&lt;TODAY(),T178&lt;&gt;"Pubblicato"),"SÌ","")</x:f>
      </x:c>
    </x:row>
    <x:row r="179" ht="78" customHeight="1">
      <x:c r="A179" s="117" t="str">
        <x:v>T178</x:v>
      </x:c>
      <x:c r="B179" s="117" t="n">
        <x:v>13</x:v>
      </x:c>
      <x:c r="C179" s="118" t="n">
        <x:f>'CAMPAGNE'!G27</x:f>
        <x:v>46320</x:v>
      </x:c>
      <x:c r="D179" s="119" t="n">
        <x:v>0.75</x:v>
      </x:c>
      <x:c r="E179" s="120" t="n">
        <x:f>'CAMPAGNE'!H27</x:f>
        <x:v>46325</x:v>
      </x:c>
      <x:c r="F179" s="117" t="str">
        <x:f>CHOOSE(WEEKDAY(E179,2),"Lunedì","Martedì","Mercoledì","Giovedì","Venerdì","Sabato","Domenica")</x:f>
        <x:v>Venerdì</x:v>
      </x:c>
      <x:c r="G179" s="119" t="n">
        <x:v>0.8333333333333334</x:v>
      </x:c>
      <x:c r="H179" s="117" t="str">
        <x:v>TikTok</x:v>
      </x:c>
      <x:c r="I179" s="117" t="str">
        <x:v>Video</x:v>
      </x:c>
      <x:c r="J179" s="81" t="str">
        <x:v>Legami</x:v>
      </x:c>
      <x:c r="K179" s="117" t="str">
        <x:v>CH03</x:v>
      </x:c>
      <x:c r="L179" s="81" t="str">
        <x:v>Il Guinzaglio</x:v>
      </x:c>
      <x:c r="M179" s="81" t="str">
        <x:v>Carica il video in TikTok Studio, scegli la copertina, incolla la caption breve e programma.</x:v>
      </x:c>
      <x:c r="N179" s="81" t="str">
        <x:v>Legami_Social_Pack/01_REELS/CH03_reel.mp4</x:v>
      </x:c>
      <x:c r="O179" s="81" t="str">
        <x:v>Legami_Social_Pack/02_REEL_COVERS/CH03_cover.jpg</x:v>
      </x:c>
      <x:c r="P179" s="81" t="str">
        <x:f>'TESTI'!G27</x:f>
        <x:v>A Padova, Virginia ritorna mentre Ella continua a vivere in ogni fantasia.
«Il Guinzaglio» da Legami.
Scopri il libro dal link in bio.
#DiariDiPelle #Legami #BookTokItalia #LibriTikTok</x:v>
      </x:c>
      <x:c r="Q179" s="81" t="str">
        <x:f>'TESTI'!J27</x:f>
        <x:v>https://diaridipelle.it/legami.html</x:v>
      </x:c>
      <x:c r="R179" s="81" t="str">
        <x:v>TikTok Studio</x:v>
      </x:c>
      <x:c r="S179" s="117" t="str">
        <x:v>Programmabile entro 10 giorni</x:v>
      </x:c>
      <x:c r="T179" s="117" t="str">
        <x:v>Da fare</x:v>
      </x:c>
      <x:c r="U179" s="81" t="str">
        <x:v>Non aggiungere watermark. Controlla anteprima verticale e audio.</x:v>
      </x:c>
      <x:c r="V179" s="81" t="str">
        <x:f>IF(AND(E179&lt;TODAY(),T179&lt;&gt;"Pubblicato"),"SÌ","")</x:f>
      </x:c>
    </x:row>
    <x:row r="180" ht="78" customHeight="1">
      <x:c r="A180" s="117" t="str">
        <x:v>T179</x:v>
      </x:c>
      <x:c r="B180" s="117" t="n">
        <x:v>13</x:v>
      </x:c>
      <x:c r="C180" s="118" t="n">
        <x:f>'CAMPAGNE'!I27</x:f>
        <x:v>46326</x:v>
      </x:c>
      <x:c r="D180" s="119" t="n">
        <x:v>0.4965277777777778</x:v>
      </x:c>
      <x:c r="E180" s="120" t="n">
        <x:f>'CAMPAGNE'!I27</x:f>
        <x:v>46326</x:v>
      </x:c>
      <x:c r="F180" s="117" t="str">
        <x:f>CHOOSE(WEEKDAY(E180,2),"Lunedì","Martedì","Mercoledì","Giovedì","Venerdì","Sabato","Domenica")</x:f>
        <x:v>Sabato</x:v>
      </x:c>
      <x:c r="G180" s="119" t="n">
        <x:v>0.5</x:v>
      </x:c>
      <x:c r="H180" s="117" t="str">
        <x:v>Instagram</x:v>
      </x:c>
      <x:c r="I180" s="117" t="str">
        <x:v>Storia</x:v>
      </x:c>
      <x:c r="J180" s="81" t="str">
        <x:v>Legami</x:v>
      </x:c>
      <x:c r="K180" s="117" t="str">
        <x:v>CH03</x:v>
      </x:c>
      <x:c r="L180" s="81" t="str">
        <x:v>Il Guinzaglio</x:v>
      </x:c>
      <x:c r="M180" s="81" t="str">
        <x:v>Carica l'immagine, aggiungi l'adesivo Link e pubblica.</x:v>
      </x:c>
      <x:c r="N180" s="81" t="str">
        <x:v>Legami_Social_Pack/04_STORIES/CH03_story.jpg</x:v>
      </x:c>
      <x:c r="O180" s="81" t="str">
        <x:v>Legami_Social_Pack/05_CAPTIONS/CH03_story_link.txt</x:v>
      </x:c>
      <x:c r="P180" s="81" t="str">
        <x:f>'TESTI'!N27</x:f>
        <x:v>Tocca SCOPRI IL LIBRO e scegli cartaceo o Kindle.</x:v>
      </x:c>
      <x:c r="Q180" s="81" t="str">
        <x:f>'TESTI'!H27</x:f>
        <x:v>https://diaridipelle.it/legami.html?utm_source=instagram&amp;utm_medium=story&amp;utm_campaign=legami&amp;utm_content=ch03</x:v>
      </x:c>
      <x:c r="R180" s="81" t="str">
        <x:v>App Instagram</x:v>
      </x:c>
      <x:c r="S180" s="117" t="str">
        <x:v>Manuale</x:v>
      </x:c>
      <x:c r="T180" s="117" t="str">
        <x:v>Da fare</x:v>
      </x:c>
      <x:c r="U180" s="81" t="str">
        <x:v>La data lavoro è lo stesso giorno, 5 minuti prima. Testo adesivo: SCOPRI IL LIBRO.</x:v>
      </x:c>
      <x:c r="V180" s="81" t="str">
        <x:f>IF(AND(E180&lt;TODAY(),T180&lt;&gt;"Pubblicato"),"SÌ","")</x:f>
      </x:c>
    </x:row>
    <x:row r="181" ht="78" customHeight="1">
      <x:c r="A181" s="117" t="str">
        <x:v>T180</x:v>
      </x:c>
      <x:c r="B181" s="117" t="n">
        <x:v>13</x:v>
      </x:c>
      <x:c r="C181" s="118" t="n">
        <x:f>'CAMPAGNE'!F27</x:f>
        <x:v>46320</x:v>
      </x:c>
      <x:c r="D181" s="119" t="n">
        <x:v>0.75</x:v>
      </x:c>
      <x:c r="E181" s="120" t="n">
        <x:f>'CAMPAGNE'!I27</x:f>
        <x:v>46326</x:v>
      </x:c>
      <x:c r="F181" s="117" t="str">
        <x:f>CHOOSE(WEEKDAY(E181,2),"Lunedì","Martedì","Mercoledì","Giovedì","Venerdì","Sabato","Domenica")</x:f>
        <x:v>Sabato</x:v>
      </x:c>
      <x:c r="G181" s="119" t="n">
        <x:v>0.5</x:v>
      </x:c>
      <x:c r="H181" s="117" t="str">
        <x:v>Facebook</x:v>
      </x:c>
      <x:c r="I181" s="117" t="str">
        <x:v>Storia</x:v>
      </x:c>
      <x:c r="J181" s="81" t="str">
        <x:v>Legami</x:v>
      </x:c>
      <x:c r="K181" s="117" t="str">
        <x:v>CH03</x:v>
      </x:c>
      <x:c r="L181" s="81" t="str">
        <x:v>Il Guinzaglio</x:v>
      </x:c>
      <x:c r="M181" s="81" t="str">
        <x:v>Crea una Storia della Pagina, carica l'immagine, aggiungi il link e programma.</x:v>
      </x:c>
      <x:c r="N181" s="81" t="str">
        <x:v>Legami_Social_Pack/04_STORIES/CH03_story.jpg</x:v>
      </x:c>
      <x:c r="O181" s="81" t="str">
        <x:v>Legami_Social_Pack/05_CAPTIONS/CH03_story_link.txt</x:v>
      </x:c>
      <x:c r="P181" s="81" t="str">
        <x:f>'TESTI'!N27</x:f>
        <x:v>Tocca SCOPRI IL LIBRO e scegli cartaceo o Kindle.</x:v>
      </x:c>
      <x:c r="Q181" s="81" t="str">
        <x:f>'TESTI'!I27</x:f>
        <x:v>https://diaridipelle.it/legami.html?utm_source=facebook&amp;utm_medium=story&amp;utm_campaign=legami&amp;utm_content=ch03</x:v>
      </x:c>
      <x:c r="R181" s="81" t="str">
        <x:v>Meta Business Suite</x:v>
      </x:c>
      <x:c r="S181" s="117" t="str">
        <x:v>Programmabile</x:v>
      </x:c>
      <x:c r="T181" s="117" t="str">
        <x:v>Da fare</x:v>
      </x:c>
      <x:c r="U181" s="81" t="str">
        <x:v>Controlla che la destinazione sia la Pagina Facebook.</x:v>
      </x:c>
      <x:c r="V181" s="81" t="str">
        <x:f>IF(AND(E181&lt;TODAY(),T181&lt;&gt;"Pubblicato"),"SÌ","")</x:f>
      </x:c>
    </x:row>
    <x:row r="182" ht="78" customHeight="1">
      <x:c r="A182" s="117" t="str">
        <x:v>T181</x:v>
      </x:c>
      <x:c r="B182" s="117" t="n">
        <x:v>13</x:v>
      </x:c>
      <x:c r="C182" s="118" t="n">
        <x:f>'CAMPAGNE'!F27</x:f>
        <x:v>46320</x:v>
      </x:c>
      <x:c r="D182" s="119" t="n">
        <x:v>0.75</x:v>
      </x:c>
      <x:c r="E182" s="120" t="n">
        <x:f>'CAMPAGNE'!J27</x:f>
        <x:v>46327</x:v>
      </x:c>
      <x:c r="F182" s="117" t="str">
        <x:f>CHOOSE(WEEKDAY(E182,2),"Lunedì","Martedì","Mercoledì","Giovedì","Venerdì","Sabato","Domenica")</x:f>
        <x:v>Domenica</x:v>
      </x:c>
      <x:c r="G182" s="119" t="n">
        <x:v>0.4583333333333333</x:v>
      </x:c>
      <x:c r="H182" s="117" t="str">
        <x:v>Instagram</x:v>
      </x:c>
      <x:c r="I182" s="117" t="str">
        <x:v>Carosello</x:v>
      </x:c>
      <x:c r="J182" s="81" t="str">
        <x:v>Legami</x:v>
      </x:c>
      <x:c r="K182" s="117" t="str">
        <x:v>CH03</x:v>
      </x:c>
      <x:c r="L182" s="81" t="str">
        <x:v>Il Guinzaglio</x:v>
      </x:c>
      <x:c r="M182" s="81" t="str">
        <x:v>Carica le tre immagini nell'ordine 01, 02, 03; incolla la caption e programma.</x:v>
      </x:c>
      <x:c r="N182" s="81" t="str">
        <x:v>Legami_Social_Pack/03_CAROUSELS/CH03/CH03_01.jpg
Legami_Social_Pack/03_CAROUSELS/CH03/CH03_02.jpg
Legami_Social_Pack/03_CAROUSELS/CH03/CH03_03.jpg</x:v>
      </x:c>
      <x:c r="O182" s="81" t="str">
        <x:v>Ordine obbligatorio: 01 → 02 → 03</x:v>
      </x:c>
      <x:c r="P182" s="81" t="str">
        <x:f>'TESTI'!E27</x:f>
        <x:v>A Padova, Virginia ritorna mentre Ella continua a vivere in ogni fantasia.
Un bacio sul Piovego dovrebbe dimostrare che la libertà esiste ancora. Invece rivela una gabbia più profonda: qualunque donna venga desiderata passa ormai attraverso il filtro di un'altra.
Il Guinzaglio racconta quando un legame non impedisce agli altri corpi di esistere, ma li rende più colpevoli e più difficili da toccare.
Leggi Legămi dal link nel profilo.
🛒 Amazon: https://www.amazon.it/dp/B0GZJR8FSJ
#DiariDiPelle #Legami #IlGuinzaglio #Padova #DipendenzaAffettiva</x:v>
      </x:c>
      <x:c r="Q182" s="81" t="str">
        <x:f>'TESTI'!J27</x:f>
        <x:v>https://diaridipelle.it/legami.html</x:v>
      </x:c>
      <x:c r="R182" s="81" t="str">
        <x:v>App Instagram</x:v>
      </x:c>
      <x:c r="S182" s="117" t="str">
        <x:v>Programmabile</x:v>
      </x:c>
      <x:c r="T182" s="117" t="str">
        <x:v>Da fare</x:v>
      </x:c>
      <x:c r="U182" s="81" t="str">
        <x:v>Verifica che nessuna slide sia tagliata. Il link è nel profilo.</x:v>
      </x:c>
      <x:c r="V182" s="81" t="str">
        <x:f>IF(AND(E182&lt;TODAY(),T182&lt;&gt;"Pubblicato"),"SÌ","")</x:f>
      </x:c>
    </x:row>
    <x:row r="183" ht="78" customHeight="1">
      <x:c r="A183" s="117" t="str">
        <x:v>T182</x:v>
      </x:c>
      <x:c r="B183" s="117" t="n">
        <x:v>13</x:v>
      </x:c>
      <x:c r="C183" s="118" t="n">
        <x:f>'CAMPAGNE'!F27</x:f>
        <x:v>46320</x:v>
      </x:c>
      <x:c r="D183" s="119" t="n">
        <x:v>0.75</x:v>
      </x:c>
      <x:c r="E183" s="120" t="n">
        <x:f>'CAMPAGNE'!J27</x:f>
        <x:v>46327</x:v>
      </x:c>
      <x:c r="F183" s="117" t="str">
        <x:f>CHOOSE(WEEKDAY(E183,2),"Lunedì","Martedì","Mercoledì","Giovedì","Venerdì","Sabato","Domenica")</x:f>
        <x:v>Domenica</x:v>
      </x:c>
      <x:c r="G183" s="119" t="n">
        <x:v>0.4583333333333333</x:v>
      </x:c>
      <x:c r="H183" s="117" t="str">
        <x:v>Facebook</x:v>
      </x:c>
      <x:c r="I183" s="117" t="str">
        <x:v>Carosello</x:v>
      </x:c>
      <x:c r="J183" s="81" t="str">
        <x:v>Legami</x:v>
      </x:c>
      <x:c r="K183" s="117" t="str">
        <x:v>CH03</x:v>
      </x:c>
      <x:c r="L183" s="81" t="str">
        <x:v>Il Guinzaglio</x:v>
      </x:c>
      <x:c r="M183" s="81" t="str">
        <x:v>Carica le tre immagini nell'ordine 01, 02, 03; incolla la caption e programma.</x:v>
      </x:c>
      <x:c r="N183" s="81" t="str">
        <x:v>Legami_Social_Pack/03_CAROUSELS/CH03/CH03_01.jpg
Legami_Social_Pack/03_CAROUSELS/CH03/CH03_02.jpg
Legami_Social_Pack/03_CAROUSELS/CH03/CH03_03.jpg</x:v>
      </x:c>
      <x:c r="O183" s="81" t="str">
        <x:v>Ordine obbligatorio: 01 → 02 → 03</x:v>
      </x:c>
      <x:c r="P183" s="81" t="str">
        <x:f>'TESTI'!F27</x:f>
        <x:v>A Padova, Virginia ritorna mentre Ella continua a vivere in ogni fantasia.
Un bacio sul Piovego dovrebbe dimostrare che la libertà esiste ancora. Invece rivela una gabbia più profonda: qualunque donna venga desiderata passa ormai attraverso il filtro di un'altra.
Il Guinzaglio racconta quando un legame non impedisce agli altri corpi di esistere, ma li rende più colpevoli e più difficili da toccare.
Leggi Legămi dal link nel profilo.
🌐 https://diaridipelle.it/legami.html
🛒 Amazon: https://www.amazon.it/dp/B0GZJR8FSJ
#DiariDiPelle #Legami #IlGuinzaglio #Padova #DipendenzaAffettiva</x:v>
      </x:c>
      <x:c r="Q183" s="81" t="str">
        <x:f>'TESTI'!J27</x:f>
        <x:v>https://diaridipelle.it/legami.html</x:v>
      </x:c>
      <x:c r="R183" s="81" t="str">
        <x:v>Meta Business Suite</x:v>
      </x:c>
      <x:c r="S183" s="117" t="str">
        <x:v>Programmabile</x:v>
      </x:c>
      <x:c r="T183" s="117" t="str">
        <x:v>Da fare</x:v>
      </x:c>
      <x:c r="U183" s="81" t="str">
        <x:v>Controlla ordine delle immagini e collegamenti nella caption.</x:v>
      </x:c>
      <x:c r="V183" s="81" t="str">
        <x:f>IF(AND(E183&lt;TODAY(),T183&lt;&gt;"Pubblicato"),"SÌ","")</x:f>
      </x:c>
    </x:row>
    <x:row r="184" ht="78" customHeight="1">
      <x:c r="A184" s="117" t="str">
        <x:v>T183</x:v>
      </x:c>
      <x:c r="B184" s="117" t="n">
        <x:v>14</x:v>
      </x:c>
      <x:c r="C184" s="118" t="n">
        <x:f>'CAMPAGNE'!F28</x:f>
        <x:v>46320</x:v>
      </x:c>
      <x:c r="D184" s="119" t="n">
        <x:v>0.75</x:v>
      </x:c>
      <x:c r="E184" s="120" t="n">
        <x:f>'CAMPAGNE'!H28</x:f>
        <x:v>46329</x:v>
      </x:c>
      <x:c r="F184" s="117" t="str">
        <x:f>CHOOSE(WEEKDAY(E184,2),"Lunedì","Martedì","Mercoledì","Giovedì","Venerdì","Sabato","Domenica")</x:f>
        <x:v>Martedì</x:v>
      </x:c>
      <x:c r="G184" s="119" t="n">
        <x:v>0.8333333333333334</x:v>
      </x:c>
      <x:c r="H184" s="117" t="str">
        <x:v>Instagram</x:v>
      </x:c>
      <x:c r="I184" s="117" t="str">
        <x:v>Reel</x:v>
      </x:c>
      <x:c r="J184" s="81" t="str">
        <x:v>Legami</x:v>
      </x:c>
      <x:c r="K184" s="117" t="str">
        <x:v>CH04</x:v>
      </x:c>
      <x:c r="L184" s="81" t="str">
        <x:v>Il Nodo</x:v>
      </x:c>
      <x:c r="M184" s="81" t="str">
        <x:v>Carica il video, imposta la copertina, incolla la caption e programma.</x:v>
      </x:c>
      <x:c r="N184" s="81" t="str">
        <x:v>Legami_Social_Pack/01_REELS/CH04_reel.mp4</x:v>
      </x:c>
      <x:c r="O184" s="81" t="str">
        <x:v>Legami_Social_Pack/02_REEL_COVERS/CH04_cover.jpg</x:v>
      </x:c>
      <x:c r="P184" s="81" t="str">
        <x:f>'TESTI'!E28</x:f>
        <x:v>Ella chiede una pausa. Lui la trasforma in una fine e prova a riempire il vuoto con il ritorno di Héloïse.
Ma il corpo di un'altra persona non può diventare la vendetta contro chi è assente. Quando il dolore non viene riconosciuto, finisce per essere scaricato su chi non ne ha colpa.
Il Nodo è il capitolo più scomodo di Legămi: non cerca assoluzioni, ma responsabilità.
Continua dal link nel profilo.
🛒 Amazon: https://www.amazon.it/dp/B0GZJR8FSJ
#DiariDiPelle #Legami #IlNodo #Bologna #Relazioni</x:v>
      </x:c>
      <x:c r="Q184" s="81" t="str">
        <x:f>'TESTI'!J28</x:f>
        <x:v>https://diaridipelle.it/legami.html</x:v>
      </x:c>
      <x:c r="R184" s="81" t="str">
        <x:v>App Instagram</x:v>
      </x:c>
      <x:c r="S184" s="117" t="str">
        <x:v>Programmabile</x:v>
      </x:c>
      <x:c r="T184" s="117" t="str">
        <x:v>Da fare</x:v>
      </x:c>
      <x:c r="U184" s="81" t="str">
        <x:v>Controlla audio, ritaglio 9:16 e anteprima copertina. Il link è nel profilo.</x:v>
      </x:c>
      <x:c r="V184" s="81" t="str">
        <x:f>IF(AND(E184&lt;TODAY(),T184&lt;&gt;"Pubblicato"),"SÌ","")</x:f>
      </x:c>
    </x:row>
    <x:row r="185" ht="78" customHeight="1">
      <x:c r="A185" s="117" t="str">
        <x:v>T184</x:v>
      </x:c>
      <x:c r="B185" s="117" t="n">
        <x:v>14</x:v>
      </x:c>
      <x:c r="C185" s="118" t="n">
        <x:f>'CAMPAGNE'!F28</x:f>
        <x:v>46320</x:v>
      </x:c>
      <x:c r="D185" s="119" t="n">
        <x:v>0.75</x:v>
      </x:c>
      <x:c r="E185" s="120" t="n">
        <x:f>'CAMPAGNE'!H28</x:f>
        <x:v>46329</x:v>
      </x:c>
      <x:c r="F185" s="117" t="str">
        <x:f>CHOOSE(WEEKDAY(E185,2),"Lunedì","Martedì","Mercoledì","Giovedì","Venerdì","Sabato","Domenica")</x:f>
        <x:v>Martedì</x:v>
      </x:c>
      <x:c r="G185" s="119" t="n">
        <x:v>0.8333333333333334</x:v>
      </x:c>
      <x:c r="H185" s="117" t="str">
        <x:v>Facebook</x:v>
      </x:c>
      <x:c r="I185" s="117" t="str">
        <x:v>Reel</x:v>
      </x:c>
      <x:c r="J185" s="81" t="str">
        <x:v>Legami</x:v>
      </x:c>
      <x:c r="K185" s="117" t="str">
        <x:v>CH04</x:v>
      </x:c>
      <x:c r="L185" s="81" t="str">
        <x:v>Il Nodo</x:v>
      </x:c>
      <x:c r="M185" s="81" t="str">
        <x:v>Crea un Reel nella Pagina, carica video e copertina, incolla la caption e programma.</x:v>
      </x:c>
      <x:c r="N185" s="81" t="str">
        <x:v>Legami_Social_Pack/01_REELS/CH04_reel.mp4</x:v>
      </x:c>
      <x:c r="O185" s="81" t="str">
        <x:v>Legami_Social_Pack/02_REEL_COVERS/CH04_cover.jpg</x:v>
      </x:c>
      <x:c r="P185" s="81" t="str">
        <x:f>'TESTI'!F28</x:f>
        <x:v>Ella chiede una pausa. Lui la trasforma in una fine e prova a riempire il vuoto con il ritorno di Héloïse.
Ma il corpo di un'altra persona non può diventare la vendetta contro chi è assente. Quando il dolore non viene riconosciuto, finisce per essere scaricato su chi non ne ha colpa.
Il Nodo è il capitolo più scomodo di Legămi: non cerca assoluzioni, ma responsabilità.
Continua dal link nel profilo.
🌐 https://diaridipelle.it/legami.html
🛒 Amazon: https://www.amazon.it/dp/B0GZJR8FSJ
#DiariDiPelle #Legami #IlNodo #Bologna #Relazioni</x:v>
      </x:c>
      <x:c r="Q185" s="81" t="str">
        <x:f>'TESTI'!J28</x:f>
        <x:v>https://diaridipelle.it/legami.html</x:v>
      </x:c>
      <x:c r="R185" s="81" t="str">
        <x:v>Meta Business Suite</x:v>
      </x:c>
      <x:c r="S185" s="117" t="str">
        <x:v>Programmabile</x:v>
      </x:c>
      <x:c r="T185" s="117" t="str">
        <x:v>Da fare</x:v>
      </x:c>
      <x:c r="U185" s="81" t="str">
        <x:v>Pubblica sulla Pagina Facebook. I collegamenti nella caption sono cliccabili.</x:v>
      </x:c>
      <x:c r="V185" s="81" t="str">
        <x:f>IF(AND(E185&lt;TODAY(),T185&lt;&gt;"Pubblicato"),"SÌ","")</x:f>
      </x:c>
    </x:row>
    <x:row r="186" ht="78" customHeight="1">
      <x:c r="A186" s="117" t="str">
        <x:v>T185</x:v>
      </x:c>
      <x:c r="B186" s="117" t="n">
        <x:v>14</x:v>
      </x:c>
      <x:c r="C186" s="118" t="n">
        <x:f>'CAMPAGNE'!G28</x:f>
        <x:v>46327</x:v>
      </x:c>
      <x:c r="D186" s="119" t="n">
        <x:v>0.75</x:v>
      </x:c>
      <x:c r="E186" s="120" t="n">
        <x:f>'CAMPAGNE'!H28</x:f>
        <x:v>46329</x:v>
      </x:c>
      <x:c r="F186" s="117" t="str">
        <x:f>CHOOSE(WEEKDAY(E186,2),"Lunedì","Martedì","Mercoledì","Giovedì","Venerdì","Sabato","Domenica")</x:f>
        <x:v>Martedì</x:v>
      </x:c>
      <x:c r="G186" s="119" t="n">
        <x:v>0.8333333333333334</x:v>
      </x:c>
      <x:c r="H186" s="117" t="str">
        <x:v>TikTok</x:v>
      </x:c>
      <x:c r="I186" s="117" t="str">
        <x:v>Video</x:v>
      </x:c>
      <x:c r="J186" s="81" t="str">
        <x:v>Legami</x:v>
      </x:c>
      <x:c r="K186" s="117" t="str">
        <x:v>CH04</x:v>
      </x:c>
      <x:c r="L186" s="81" t="str">
        <x:v>Il Nodo</x:v>
      </x:c>
      <x:c r="M186" s="81" t="str">
        <x:v>Carica il video in TikTok Studio, scegli la copertina, incolla la caption breve e programma.</x:v>
      </x:c>
      <x:c r="N186" s="81" t="str">
        <x:v>Legami_Social_Pack/01_REELS/CH04_reel.mp4</x:v>
      </x:c>
      <x:c r="O186" s="81" t="str">
        <x:v>Legami_Social_Pack/02_REEL_COVERS/CH04_cover.jpg</x:v>
      </x:c>
      <x:c r="P186" s="81" t="str">
        <x:f>'TESTI'!G28</x:f>
        <x:v>Ella chiede una pausa. Lui la trasforma in una fine e prova a riempire il vuoto con il ritorno di Héloïse.
«Il Nodo» da Legami.
Scopri il libro dal link in bio.
#DiariDiPelle #Legami #BookTokItalia #LibriTikTok</x:v>
      </x:c>
      <x:c r="Q186" s="81" t="str">
        <x:f>'TESTI'!J28</x:f>
        <x:v>https://diaridipelle.it/legami.html</x:v>
      </x:c>
      <x:c r="R186" s="81" t="str">
        <x:v>TikTok Studio</x:v>
      </x:c>
      <x:c r="S186" s="117" t="str">
        <x:v>Programmabile entro 10 giorni</x:v>
      </x:c>
      <x:c r="T186" s="117" t="str">
        <x:v>Da fare</x:v>
      </x:c>
      <x:c r="U186" s="81" t="str">
        <x:v>Non aggiungere watermark. Controlla anteprima verticale e audio.</x:v>
      </x:c>
      <x:c r="V186" s="81" t="str">
        <x:f>IF(AND(E186&lt;TODAY(),T186&lt;&gt;"Pubblicato"),"SÌ","")</x:f>
      </x:c>
    </x:row>
    <x:row r="187" ht="78" customHeight="1">
      <x:c r="A187" s="117" t="str">
        <x:v>T186</x:v>
      </x:c>
      <x:c r="B187" s="117" t="n">
        <x:v>14</x:v>
      </x:c>
      <x:c r="C187" s="118" t="n">
        <x:f>'CAMPAGNE'!I28</x:f>
        <x:v>46330</x:v>
      </x:c>
      <x:c r="D187" s="119" t="n">
        <x:v>0.4965277777777778</x:v>
      </x:c>
      <x:c r="E187" s="120" t="n">
        <x:f>'CAMPAGNE'!I28</x:f>
        <x:v>46330</x:v>
      </x:c>
      <x:c r="F187" s="117" t="str">
        <x:f>CHOOSE(WEEKDAY(E187,2),"Lunedì","Martedì","Mercoledì","Giovedì","Venerdì","Sabato","Domenica")</x:f>
        <x:v>Mercoledì</x:v>
      </x:c>
      <x:c r="G187" s="119" t="n">
        <x:v>0.5</x:v>
      </x:c>
      <x:c r="H187" s="117" t="str">
        <x:v>Instagram</x:v>
      </x:c>
      <x:c r="I187" s="117" t="str">
        <x:v>Storia</x:v>
      </x:c>
      <x:c r="J187" s="81" t="str">
        <x:v>Legami</x:v>
      </x:c>
      <x:c r="K187" s="117" t="str">
        <x:v>CH04</x:v>
      </x:c>
      <x:c r="L187" s="81" t="str">
        <x:v>Il Nodo</x:v>
      </x:c>
      <x:c r="M187" s="81" t="str">
        <x:v>Carica l'immagine, aggiungi l'adesivo Link e pubblica.</x:v>
      </x:c>
      <x:c r="N187" s="81" t="str">
        <x:v>Legami_Social_Pack/04_STORIES/CH04_story.jpg</x:v>
      </x:c>
      <x:c r="O187" s="81" t="str">
        <x:v>Legami_Social_Pack/05_CAPTIONS/CH04_story_link.txt</x:v>
      </x:c>
      <x:c r="P187" s="81" t="str">
        <x:f>'TESTI'!N28</x:f>
        <x:v>Tocca SCOPRI IL LIBRO e scegli cartaceo o Kindle.</x:v>
      </x:c>
      <x:c r="Q187" s="81" t="str">
        <x:f>'TESTI'!H28</x:f>
        <x:v>https://diaridipelle.it/legami.html?utm_source=instagram&amp;utm_medium=story&amp;utm_campaign=legami&amp;utm_content=ch04</x:v>
      </x:c>
      <x:c r="R187" s="81" t="str">
        <x:v>App Instagram</x:v>
      </x:c>
      <x:c r="S187" s="117" t="str">
        <x:v>Manuale</x:v>
      </x:c>
      <x:c r="T187" s="117" t="str">
        <x:v>Da fare</x:v>
      </x:c>
      <x:c r="U187" s="81" t="str">
        <x:v>La data lavoro è lo stesso giorno, 5 minuti prima. Testo adesivo: SCOPRI IL LIBRO.</x:v>
      </x:c>
      <x:c r="V187" s="81" t="str">
        <x:f>IF(AND(E187&lt;TODAY(),T187&lt;&gt;"Pubblicato"),"SÌ","")</x:f>
      </x:c>
    </x:row>
    <x:row r="188" ht="78" customHeight="1">
      <x:c r="A188" s="117" t="str">
        <x:v>T187</x:v>
      </x:c>
      <x:c r="B188" s="117" t="n">
        <x:v>14</x:v>
      </x:c>
      <x:c r="C188" s="118" t="n">
        <x:f>'CAMPAGNE'!F28</x:f>
        <x:v>46320</x:v>
      </x:c>
      <x:c r="D188" s="119" t="n">
        <x:v>0.75</x:v>
      </x:c>
      <x:c r="E188" s="120" t="n">
        <x:f>'CAMPAGNE'!I28</x:f>
        <x:v>46330</x:v>
      </x:c>
      <x:c r="F188" s="117" t="str">
        <x:f>CHOOSE(WEEKDAY(E188,2),"Lunedì","Martedì","Mercoledì","Giovedì","Venerdì","Sabato","Domenica")</x:f>
        <x:v>Mercoledì</x:v>
      </x:c>
      <x:c r="G188" s="119" t="n">
        <x:v>0.5</x:v>
      </x:c>
      <x:c r="H188" s="117" t="str">
        <x:v>Facebook</x:v>
      </x:c>
      <x:c r="I188" s="117" t="str">
        <x:v>Storia</x:v>
      </x:c>
      <x:c r="J188" s="81" t="str">
        <x:v>Legami</x:v>
      </x:c>
      <x:c r="K188" s="117" t="str">
        <x:v>CH04</x:v>
      </x:c>
      <x:c r="L188" s="81" t="str">
        <x:v>Il Nodo</x:v>
      </x:c>
      <x:c r="M188" s="81" t="str">
        <x:v>Crea una Storia della Pagina, carica l'immagine, aggiungi il link e programma.</x:v>
      </x:c>
      <x:c r="N188" s="81" t="str">
        <x:v>Legami_Social_Pack/04_STORIES/CH04_story.jpg</x:v>
      </x:c>
      <x:c r="O188" s="81" t="str">
        <x:v>Legami_Social_Pack/05_CAPTIONS/CH04_story_link.txt</x:v>
      </x:c>
      <x:c r="P188" s="81" t="str">
        <x:f>'TESTI'!N28</x:f>
        <x:v>Tocca SCOPRI IL LIBRO e scegli cartaceo o Kindle.</x:v>
      </x:c>
      <x:c r="Q188" s="81" t="str">
        <x:f>'TESTI'!I28</x:f>
        <x:v>https://diaridipelle.it/legami.html?utm_source=facebook&amp;utm_medium=story&amp;utm_campaign=legami&amp;utm_content=ch04</x:v>
      </x:c>
      <x:c r="R188" s="81" t="str">
        <x:v>Meta Business Suite</x:v>
      </x:c>
      <x:c r="S188" s="117" t="str">
        <x:v>Programmabile</x:v>
      </x:c>
      <x:c r="T188" s="117" t="str">
        <x:v>Da fare</x:v>
      </x:c>
      <x:c r="U188" s="81" t="str">
        <x:v>Controlla che la destinazione sia la Pagina Facebook.</x:v>
      </x:c>
      <x:c r="V188" s="81" t="str">
        <x:f>IF(AND(E188&lt;TODAY(),T188&lt;&gt;"Pubblicato"),"SÌ","")</x:f>
      </x:c>
    </x:row>
    <x:row r="189" ht="78" customHeight="1">
      <x:c r="A189" s="117" t="str">
        <x:v>T188</x:v>
      </x:c>
      <x:c r="B189" s="117" t="n">
        <x:v>14</x:v>
      </x:c>
      <x:c r="C189" s="118" t="n">
        <x:f>'CAMPAGNE'!F28</x:f>
        <x:v>46320</x:v>
      </x:c>
      <x:c r="D189" s="119" t="n">
        <x:v>0.75</x:v>
      </x:c>
      <x:c r="E189" s="120" t="n">
        <x:f>'CAMPAGNE'!J28</x:f>
        <x:v>46331</x:v>
      </x:c>
      <x:c r="F189" s="117" t="str">
        <x:f>CHOOSE(WEEKDAY(E189,2),"Lunedì","Martedì","Mercoledì","Giovedì","Venerdì","Sabato","Domenica")</x:f>
        <x:v>Giovedì</x:v>
      </x:c>
      <x:c r="G189" s="119" t="n">
        <x:v>0.8333333333333334</x:v>
      </x:c>
      <x:c r="H189" s="117" t="str">
        <x:v>Instagram</x:v>
      </x:c>
      <x:c r="I189" s="117" t="str">
        <x:v>Carosello</x:v>
      </x:c>
      <x:c r="J189" s="81" t="str">
        <x:v>Legami</x:v>
      </x:c>
      <x:c r="K189" s="117" t="str">
        <x:v>CH04</x:v>
      </x:c>
      <x:c r="L189" s="81" t="str">
        <x:v>Il Nodo</x:v>
      </x:c>
      <x:c r="M189" s="81" t="str">
        <x:v>Carica le tre immagini nell'ordine 01, 02, 03; incolla la caption e programma.</x:v>
      </x:c>
      <x:c r="N189" s="81" t="str">
        <x:v>Legami_Social_Pack/03_CAROUSELS/CH04/CH04_01.jpg
Legami_Social_Pack/03_CAROUSELS/CH04/CH04_02.jpg
Legami_Social_Pack/03_CAROUSELS/CH04/CH04_03.jpg</x:v>
      </x:c>
      <x:c r="O189" s="81" t="str">
        <x:v>Ordine obbligatorio: 01 → 02 → 03</x:v>
      </x:c>
      <x:c r="P189" s="81" t="str">
        <x:f>'TESTI'!E28</x:f>
        <x:v>Ella chiede una pausa. Lui la trasforma in una fine e prova a riempire il vuoto con il ritorno di Héloïse.
Ma il corpo di un'altra persona non può diventare la vendetta contro chi è assente. Quando il dolore non viene riconosciuto, finisce per essere scaricato su chi non ne ha colpa.
Il Nodo è il capitolo più scomodo di Legămi: non cerca assoluzioni, ma responsabilità.
Continua dal link nel profilo.
🛒 Amazon: https://www.amazon.it/dp/B0GZJR8FSJ
#DiariDiPelle #Legami #IlNodo #Bologna #Relazioni</x:v>
      </x:c>
      <x:c r="Q189" s="81" t="str">
        <x:f>'TESTI'!J28</x:f>
        <x:v>https://diaridipelle.it/legami.html</x:v>
      </x:c>
      <x:c r="R189" s="81" t="str">
        <x:v>App Instagram</x:v>
      </x:c>
      <x:c r="S189" s="117" t="str">
        <x:v>Programmabile</x:v>
      </x:c>
      <x:c r="T189" s="117" t="str">
        <x:v>Da fare</x:v>
      </x:c>
      <x:c r="U189" s="81" t="str">
        <x:v>Verifica che nessuna slide sia tagliata. Il link è nel profilo.</x:v>
      </x:c>
      <x:c r="V189" s="81" t="str">
        <x:f>IF(AND(E189&lt;TODAY(),T189&lt;&gt;"Pubblicato"),"SÌ","")</x:f>
      </x:c>
    </x:row>
    <x:row r="190" ht="78" customHeight="1">
      <x:c r="A190" s="117" t="str">
        <x:v>T189</x:v>
      </x:c>
      <x:c r="B190" s="117" t="n">
        <x:v>14</x:v>
      </x:c>
      <x:c r="C190" s="118" t="n">
        <x:f>'CAMPAGNE'!F28</x:f>
        <x:v>46320</x:v>
      </x:c>
      <x:c r="D190" s="119" t="n">
        <x:v>0.75</x:v>
      </x:c>
      <x:c r="E190" s="120" t="n">
        <x:f>'CAMPAGNE'!J28</x:f>
        <x:v>46331</x:v>
      </x:c>
      <x:c r="F190" s="117" t="str">
        <x:f>CHOOSE(WEEKDAY(E190,2),"Lunedì","Martedì","Mercoledì","Giovedì","Venerdì","Sabato","Domenica")</x:f>
        <x:v>Giovedì</x:v>
      </x:c>
      <x:c r="G190" s="119" t="n">
        <x:v>0.8333333333333334</x:v>
      </x:c>
      <x:c r="H190" s="117" t="str">
        <x:v>Facebook</x:v>
      </x:c>
      <x:c r="I190" s="117" t="str">
        <x:v>Carosello</x:v>
      </x:c>
      <x:c r="J190" s="81" t="str">
        <x:v>Legami</x:v>
      </x:c>
      <x:c r="K190" s="117" t="str">
        <x:v>CH04</x:v>
      </x:c>
      <x:c r="L190" s="81" t="str">
        <x:v>Il Nodo</x:v>
      </x:c>
      <x:c r="M190" s="81" t="str">
        <x:v>Carica le tre immagini nell'ordine 01, 02, 03; incolla la caption e programma.</x:v>
      </x:c>
      <x:c r="N190" s="81" t="str">
        <x:v>Legami_Social_Pack/03_CAROUSELS/CH04/CH04_01.jpg
Legami_Social_Pack/03_CAROUSELS/CH04/CH04_02.jpg
Legami_Social_Pack/03_CAROUSELS/CH04/CH04_03.jpg</x:v>
      </x:c>
      <x:c r="O190" s="81" t="str">
        <x:v>Ordine obbligatorio: 01 → 02 → 03</x:v>
      </x:c>
      <x:c r="P190" s="81" t="str">
        <x:f>'TESTI'!F28</x:f>
        <x:v>Ella chiede una pausa. Lui la trasforma in una fine e prova a riempire il vuoto con il ritorno di Héloïse.
Ma il corpo di un'altra persona non può diventare la vendetta contro chi è assente. Quando il dolore non viene riconosciuto, finisce per essere scaricato su chi non ne ha colpa.
Il Nodo è il capitolo più scomodo di Legămi: non cerca assoluzioni, ma responsabilità.
Continua dal link nel profilo.
🌐 https://diaridipelle.it/legami.html
🛒 Amazon: https://www.amazon.it/dp/B0GZJR8FSJ
#DiariDiPelle #Legami #IlNodo #Bologna #Relazioni</x:v>
      </x:c>
      <x:c r="Q190" s="81" t="str">
        <x:f>'TESTI'!J28</x:f>
        <x:v>https://diaridipelle.it/legami.html</x:v>
      </x:c>
      <x:c r="R190" s="81" t="str">
        <x:v>Meta Business Suite</x:v>
      </x:c>
      <x:c r="S190" s="117" t="str">
        <x:v>Programmabile</x:v>
      </x:c>
      <x:c r="T190" s="117" t="str">
        <x:v>Da fare</x:v>
      </x:c>
      <x:c r="U190" s="81" t="str">
        <x:v>Controlla ordine delle immagini e collegamenti nella caption.</x:v>
      </x:c>
      <x:c r="V190" s="81" t="str">
        <x:f>IF(AND(E190&lt;TODAY(),T190&lt;&gt;"Pubblicato"),"SÌ","")</x:f>
      </x:c>
    </x:row>
    <x:row r="191" ht="78" customHeight="1">
      <x:c r="A191" s="117" t="str">
        <x:v>T190</x:v>
      </x:c>
      <x:c r="B191" s="117" t="n">
        <x:v>14</x:v>
      </x:c>
      <x:c r="C191" s="118" t="n">
        <x:f>'CAMPAGNE'!F29</x:f>
        <x:v>46320</x:v>
      </x:c>
      <x:c r="D191" s="119" t="n">
        <x:v>0.75</x:v>
      </x:c>
      <x:c r="E191" s="120" t="n">
        <x:f>'CAMPAGNE'!H29</x:f>
        <x:v>46332</x:v>
      </x:c>
      <x:c r="F191" s="117" t="str">
        <x:f>CHOOSE(WEEKDAY(E191,2),"Lunedì","Martedì","Mercoledì","Giovedì","Venerdì","Sabato","Domenica")</x:f>
        <x:v>Venerdì</x:v>
      </x:c>
      <x:c r="G191" s="119" t="n">
        <x:v>0.8333333333333334</x:v>
      </x:c>
      <x:c r="H191" s="117" t="str">
        <x:v>Instagram</x:v>
      </x:c>
      <x:c r="I191" s="117" t="str">
        <x:v>Reel</x:v>
      </x:c>
      <x:c r="J191" s="81" t="str">
        <x:v>Legami</x:v>
      </x:c>
      <x:c r="K191" s="117" t="str">
        <x:v>CH05</x:v>
      </x:c>
      <x:c r="L191" s="81" t="str">
        <x:v>Il Morso</x:v>
      </x:c>
      <x:c r="M191" s="81" t="str">
        <x:v>Carica il video, imposta la copertina, incolla la caption e programma.</x:v>
      </x:c>
      <x:c r="N191" s="81" t="str">
        <x:v>Legami_Social_Pack/01_REELS/CH05_reel.mp4</x:v>
      </x:c>
      <x:c r="O191" s="81" t="str">
        <x:v>Legami_Social_Pack/02_REEL_COVERS/CH05_cover.jpg</x:v>
      </x:c>
      <x:c r="P191" s="81" t="str">
        <x:f>'TESTI'!E29</x:f>
        <x:v>Bologna, luglio. Una cena, il vino, una donna arrivata da Chicago e una notte troppo intensa per diventare abitudine.
Joy entra come una fame rapida e luminosa. Solo dopo arriva la verità: stava per sposarsi. Il ricordo cambia sapore e ciò che sembrava libertà diventa un ultimo segno lasciato sulla pelle.
Alcuni desideri sono troppo brevi per diventare casa e troppo veri per sparire.
Scopri Il Morso in Legămi dal link nel profilo.
🛒 Amazon: https://www.amazon.it/dp/B0GZJR8FSJ
#DiariDiPelle #Legami #IlMorso #Bologna #LibriDaLeggere</x:v>
      </x:c>
      <x:c r="Q191" s="81" t="str">
        <x:f>'TESTI'!J29</x:f>
        <x:v>https://diaridipelle.it/legami.html</x:v>
      </x:c>
      <x:c r="R191" s="81" t="str">
        <x:v>App Instagram</x:v>
      </x:c>
      <x:c r="S191" s="117" t="str">
        <x:v>Programmabile</x:v>
      </x:c>
      <x:c r="T191" s="117" t="str">
        <x:v>Da fare</x:v>
      </x:c>
      <x:c r="U191" s="81" t="str">
        <x:v>Controlla audio, ritaglio 9:16 e anteprima copertina. Il link è nel profilo.</x:v>
      </x:c>
      <x:c r="V191" s="81" t="str">
        <x:f>IF(AND(E191&lt;TODAY(),T191&lt;&gt;"Pubblicato"),"SÌ","")</x:f>
      </x:c>
    </x:row>
    <x:row r="192" ht="78" customHeight="1">
      <x:c r="A192" s="117" t="str">
        <x:v>T191</x:v>
      </x:c>
      <x:c r="B192" s="117" t="n">
        <x:v>14</x:v>
      </x:c>
      <x:c r="C192" s="118" t="n">
        <x:f>'CAMPAGNE'!F29</x:f>
        <x:v>46320</x:v>
      </x:c>
      <x:c r="D192" s="119" t="n">
        <x:v>0.75</x:v>
      </x:c>
      <x:c r="E192" s="120" t="n">
        <x:f>'CAMPAGNE'!H29</x:f>
        <x:v>46332</x:v>
      </x:c>
      <x:c r="F192" s="117" t="str">
        <x:f>CHOOSE(WEEKDAY(E192,2),"Lunedì","Martedì","Mercoledì","Giovedì","Venerdì","Sabato","Domenica")</x:f>
        <x:v>Venerdì</x:v>
      </x:c>
      <x:c r="G192" s="119" t="n">
        <x:v>0.8333333333333334</x:v>
      </x:c>
      <x:c r="H192" s="117" t="str">
        <x:v>Facebook</x:v>
      </x:c>
      <x:c r="I192" s="117" t="str">
        <x:v>Reel</x:v>
      </x:c>
      <x:c r="J192" s="81" t="str">
        <x:v>Legami</x:v>
      </x:c>
      <x:c r="K192" s="117" t="str">
        <x:v>CH05</x:v>
      </x:c>
      <x:c r="L192" s="81" t="str">
        <x:v>Il Morso</x:v>
      </x:c>
      <x:c r="M192" s="81" t="str">
        <x:v>Crea un Reel nella Pagina, carica video e copertina, incolla la caption e programma.</x:v>
      </x:c>
      <x:c r="N192" s="81" t="str">
        <x:v>Legami_Social_Pack/01_REELS/CH05_reel.mp4</x:v>
      </x:c>
      <x:c r="O192" s="81" t="str">
        <x:v>Legami_Social_Pack/02_REEL_COVERS/CH05_cover.jpg</x:v>
      </x:c>
      <x:c r="P192" s="81" t="str">
        <x:f>'TESTI'!F29</x:f>
        <x:v>Bologna, luglio. Una cena, il vino, una donna arrivata da Chicago e una notte troppo intensa per diventare abitudine.
Joy entra come una fame rapida e luminosa. Solo dopo arriva la verità: stava per sposarsi. Il ricordo cambia sapore e ciò che sembrava libertà diventa un ultimo segno lasciato sulla pelle.
Alcuni desideri sono troppo brevi per diventare casa e troppo veri per sparire.
Scopri Il Morso in Legămi dal link nel profilo.
🌐 https://diaridipelle.it/legami.html
🛒 Amazon: https://www.amazon.it/dp/B0GZJR8FSJ
#DiariDiPelle #Legami #IlMorso #Bologna #LibriDaLeggere</x:v>
      </x:c>
      <x:c r="Q192" s="81" t="str">
        <x:f>'TESTI'!J29</x:f>
        <x:v>https://diaridipelle.it/legami.html</x:v>
      </x:c>
      <x:c r="R192" s="81" t="str">
        <x:v>Meta Business Suite</x:v>
      </x:c>
      <x:c r="S192" s="117" t="str">
        <x:v>Programmabile</x:v>
      </x:c>
      <x:c r="T192" s="117" t="str">
        <x:v>Da fare</x:v>
      </x:c>
      <x:c r="U192" s="81" t="str">
        <x:v>Pubblica sulla Pagina Facebook. I collegamenti nella caption sono cliccabili.</x:v>
      </x:c>
      <x:c r="V192" s="81" t="str">
        <x:f>IF(AND(E192&lt;TODAY(),T192&lt;&gt;"Pubblicato"),"SÌ","")</x:f>
      </x:c>
    </x:row>
    <x:row r="193" ht="78" customHeight="1">
      <x:c r="A193" s="117" t="str">
        <x:v>T192</x:v>
      </x:c>
      <x:c r="B193" s="117" t="n">
        <x:v>14</x:v>
      </x:c>
      <x:c r="C193" s="118" t="n">
        <x:f>'CAMPAGNE'!G29</x:f>
        <x:v>46327</x:v>
      </x:c>
      <x:c r="D193" s="119" t="n">
        <x:v>0.75</x:v>
      </x:c>
      <x:c r="E193" s="120" t="n">
        <x:f>'CAMPAGNE'!H29</x:f>
        <x:v>46332</x:v>
      </x:c>
      <x:c r="F193" s="117" t="str">
        <x:f>CHOOSE(WEEKDAY(E193,2),"Lunedì","Martedì","Mercoledì","Giovedì","Venerdì","Sabato","Domenica")</x:f>
        <x:v>Venerdì</x:v>
      </x:c>
      <x:c r="G193" s="119" t="n">
        <x:v>0.8333333333333334</x:v>
      </x:c>
      <x:c r="H193" s="117" t="str">
        <x:v>TikTok</x:v>
      </x:c>
      <x:c r="I193" s="117" t="str">
        <x:v>Video</x:v>
      </x:c>
      <x:c r="J193" s="81" t="str">
        <x:v>Legami</x:v>
      </x:c>
      <x:c r="K193" s="117" t="str">
        <x:v>CH05</x:v>
      </x:c>
      <x:c r="L193" s="81" t="str">
        <x:v>Il Morso</x:v>
      </x:c>
      <x:c r="M193" s="81" t="str">
        <x:v>Carica il video in TikTok Studio, scegli la copertina, incolla la caption breve e programma.</x:v>
      </x:c>
      <x:c r="N193" s="81" t="str">
        <x:v>Legami_Social_Pack/01_REELS/CH05_reel.mp4</x:v>
      </x:c>
      <x:c r="O193" s="81" t="str">
        <x:v>Legami_Social_Pack/02_REEL_COVERS/CH05_cover.jpg</x:v>
      </x:c>
      <x:c r="P193" s="81" t="str">
        <x:f>'TESTI'!G29</x:f>
        <x:v>Bologna, luglio. Una cena, il vino, una donna arrivata da Chicago e una notte troppo intensa per diventare abitudine.
«Il Morso» da Legami.
Scopri il libro dal link in bio.
#DiariDiPelle #Legami #BookTokItalia #LibriTikTok</x:v>
      </x:c>
      <x:c r="Q193" s="81" t="str">
        <x:f>'TESTI'!J29</x:f>
        <x:v>https://diaridipelle.it/legami.html</x:v>
      </x:c>
      <x:c r="R193" s="81" t="str">
        <x:v>TikTok Studio</x:v>
      </x:c>
      <x:c r="S193" s="117" t="str">
        <x:v>Programmabile entro 10 giorni</x:v>
      </x:c>
      <x:c r="T193" s="117" t="str">
        <x:v>Da fare</x:v>
      </x:c>
      <x:c r="U193" s="81" t="str">
        <x:v>Non aggiungere watermark. Controlla anteprima verticale e audio.</x:v>
      </x:c>
      <x:c r="V193" s="81" t="str">
        <x:f>IF(AND(E193&lt;TODAY(),T193&lt;&gt;"Pubblicato"),"SÌ","")</x:f>
      </x:c>
    </x:row>
    <x:row r="194" ht="78" customHeight="1">
      <x:c r="A194" s="117" t="str">
        <x:v>T193</x:v>
      </x:c>
      <x:c r="B194" s="117" t="n">
        <x:v>14</x:v>
      </x:c>
      <x:c r="C194" s="118" t="n">
        <x:f>'CAMPAGNE'!I29</x:f>
        <x:v>46333</x:v>
      </x:c>
      <x:c r="D194" s="119" t="n">
        <x:v>0.4965277777777778</x:v>
      </x:c>
      <x:c r="E194" s="120" t="n">
        <x:f>'CAMPAGNE'!I29</x:f>
        <x:v>46333</x:v>
      </x:c>
      <x:c r="F194" s="117" t="str">
        <x:f>CHOOSE(WEEKDAY(E194,2),"Lunedì","Martedì","Mercoledì","Giovedì","Venerdì","Sabato","Domenica")</x:f>
        <x:v>Sabato</x:v>
      </x:c>
      <x:c r="G194" s="119" t="n">
        <x:v>0.5</x:v>
      </x:c>
      <x:c r="H194" s="117" t="str">
        <x:v>Instagram</x:v>
      </x:c>
      <x:c r="I194" s="117" t="str">
        <x:v>Storia</x:v>
      </x:c>
      <x:c r="J194" s="81" t="str">
        <x:v>Legami</x:v>
      </x:c>
      <x:c r="K194" s="117" t="str">
        <x:v>CH05</x:v>
      </x:c>
      <x:c r="L194" s="81" t="str">
        <x:v>Il Morso</x:v>
      </x:c>
      <x:c r="M194" s="81" t="str">
        <x:v>Carica l'immagine, aggiungi l'adesivo Link e pubblica.</x:v>
      </x:c>
      <x:c r="N194" s="81" t="str">
        <x:v>Legami_Social_Pack/04_STORIES/CH05_story.jpg</x:v>
      </x:c>
      <x:c r="O194" s="81" t="str">
        <x:v>Legami_Social_Pack/05_CAPTIONS/CH05_story_link.txt</x:v>
      </x:c>
      <x:c r="P194" s="81" t="str">
        <x:f>'TESTI'!N29</x:f>
        <x:v>Tocca SCOPRI IL LIBRO e scegli cartaceo o Kindle.</x:v>
      </x:c>
      <x:c r="Q194" s="81" t="str">
        <x:f>'TESTI'!H29</x:f>
        <x:v>https://diaridipelle.it/legami.html?utm_source=instagram&amp;utm_medium=story&amp;utm_campaign=legami&amp;utm_content=ch05</x:v>
      </x:c>
      <x:c r="R194" s="81" t="str">
        <x:v>App Instagram</x:v>
      </x:c>
      <x:c r="S194" s="117" t="str">
        <x:v>Manuale</x:v>
      </x:c>
      <x:c r="T194" s="117" t="str">
        <x:v>Da fare</x:v>
      </x:c>
      <x:c r="U194" s="81" t="str">
        <x:v>La data lavoro è lo stesso giorno, 5 minuti prima. Testo adesivo: SCOPRI IL LIBRO.</x:v>
      </x:c>
      <x:c r="V194" s="81" t="str">
        <x:f>IF(AND(E194&lt;TODAY(),T194&lt;&gt;"Pubblicato"),"SÌ","")</x:f>
      </x:c>
    </x:row>
    <x:row r="195" ht="78" customHeight="1">
      <x:c r="A195" s="117" t="str">
        <x:v>T194</x:v>
      </x:c>
      <x:c r="B195" s="117" t="n">
        <x:v>14</x:v>
      </x:c>
      <x:c r="C195" s="118" t="n">
        <x:f>'CAMPAGNE'!F29</x:f>
        <x:v>46320</x:v>
      </x:c>
      <x:c r="D195" s="119" t="n">
        <x:v>0.75</x:v>
      </x:c>
      <x:c r="E195" s="120" t="n">
        <x:f>'CAMPAGNE'!I29</x:f>
        <x:v>46333</x:v>
      </x:c>
      <x:c r="F195" s="117" t="str">
        <x:f>CHOOSE(WEEKDAY(E195,2),"Lunedì","Martedì","Mercoledì","Giovedì","Venerdì","Sabato","Domenica")</x:f>
        <x:v>Sabato</x:v>
      </x:c>
      <x:c r="G195" s="119" t="n">
        <x:v>0.5</x:v>
      </x:c>
      <x:c r="H195" s="117" t="str">
        <x:v>Facebook</x:v>
      </x:c>
      <x:c r="I195" s="117" t="str">
        <x:v>Storia</x:v>
      </x:c>
      <x:c r="J195" s="81" t="str">
        <x:v>Legami</x:v>
      </x:c>
      <x:c r="K195" s="117" t="str">
        <x:v>CH05</x:v>
      </x:c>
      <x:c r="L195" s="81" t="str">
        <x:v>Il Morso</x:v>
      </x:c>
      <x:c r="M195" s="81" t="str">
        <x:v>Crea una Storia della Pagina, carica l'immagine, aggiungi il link e programma.</x:v>
      </x:c>
      <x:c r="N195" s="81" t="str">
        <x:v>Legami_Social_Pack/04_STORIES/CH05_story.jpg</x:v>
      </x:c>
      <x:c r="O195" s="81" t="str">
        <x:v>Legami_Social_Pack/05_CAPTIONS/CH05_story_link.txt</x:v>
      </x:c>
      <x:c r="P195" s="81" t="str">
        <x:f>'TESTI'!N29</x:f>
        <x:v>Tocca SCOPRI IL LIBRO e scegli cartaceo o Kindle.</x:v>
      </x:c>
      <x:c r="Q195" s="81" t="str">
        <x:f>'TESTI'!I29</x:f>
        <x:v>https://diaridipelle.it/legami.html?utm_source=facebook&amp;utm_medium=story&amp;utm_campaign=legami&amp;utm_content=ch05</x:v>
      </x:c>
      <x:c r="R195" s="81" t="str">
        <x:v>Meta Business Suite</x:v>
      </x:c>
      <x:c r="S195" s="117" t="str">
        <x:v>Programmabile</x:v>
      </x:c>
      <x:c r="T195" s="117" t="str">
        <x:v>Da fare</x:v>
      </x:c>
      <x:c r="U195" s="81" t="str">
        <x:v>Controlla che la destinazione sia la Pagina Facebook.</x:v>
      </x:c>
      <x:c r="V195" s="81" t="str">
        <x:f>IF(AND(E195&lt;TODAY(),T195&lt;&gt;"Pubblicato"),"SÌ","")</x:f>
      </x:c>
    </x:row>
    <x:row r="196" ht="78" customHeight="1">
      <x:c r="A196" s="117" t="str">
        <x:v>T195</x:v>
      </x:c>
      <x:c r="B196" s="117" t="n">
        <x:v>14</x:v>
      </x:c>
      <x:c r="C196" s="118" t="n">
        <x:f>'CAMPAGNE'!F29</x:f>
        <x:v>46320</x:v>
      </x:c>
      <x:c r="D196" s="119" t="n">
        <x:v>0.75</x:v>
      </x:c>
      <x:c r="E196" s="120" t="n">
        <x:f>'CAMPAGNE'!J29</x:f>
        <x:v>46334</x:v>
      </x:c>
      <x:c r="F196" s="117" t="str">
        <x:f>CHOOSE(WEEKDAY(E196,2),"Lunedì","Martedì","Mercoledì","Giovedì","Venerdì","Sabato","Domenica")</x:f>
        <x:v>Domenica</x:v>
      </x:c>
      <x:c r="G196" s="119" t="n">
        <x:v>0.4583333333333333</x:v>
      </x:c>
      <x:c r="H196" s="117" t="str">
        <x:v>Instagram</x:v>
      </x:c>
      <x:c r="I196" s="117" t="str">
        <x:v>Carosello</x:v>
      </x:c>
      <x:c r="J196" s="81" t="str">
        <x:v>Legami</x:v>
      </x:c>
      <x:c r="K196" s="117" t="str">
        <x:v>CH05</x:v>
      </x:c>
      <x:c r="L196" s="81" t="str">
        <x:v>Il Morso</x:v>
      </x:c>
      <x:c r="M196" s="81" t="str">
        <x:v>Carica le tre immagini nell'ordine 01, 02, 03; incolla la caption e programma.</x:v>
      </x:c>
      <x:c r="N196" s="81" t="str">
        <x:v>Legami_Social_Pack/03_CAROUSELS/CH05/CH05_01.jpg
Legami_Social_Pack/03_CAROUSELS/CH05/CH05_02.jpg
Legami_Social_Pack/03_CAROUSELS/CH05/CH05_03.jpg</x:v>
      </x:c>
      <x:c r="O196" s="81" t="str">
        <x:v>Ordine obbligatorio: 01 → 02 → 03</x:v>
      </x:c>
      <x:c r="P196" s="81" t="str">
        <x:f>'TESTI'!E29</x:f>
        <x:v>Bologna, luglio. Una cena, il vino, una donna arrivata da Chicago e una notte troppo intensa per diventare abitudine.
Joy entra come una fame rapida e luminosa. Solo dopo arriva la verità: stava per sposarsi. Il ricordo cambia sapore e ciò che sembrava libertà diventa un ultimo segno lasciato sulla pelle.
Alcuni desideri sono troppo brevi per diventare casa e troppo veri per sparire.
Scopri Il Morso in Legămi dal link nel profilo.
🛒 Amazon: https://www.amazon.it/dp/B0GZJR8FSJ
#DiariDiPelle #Legami #IlMorso #Bologna #LibriDaLeggere</x:v>
      </x:c>
      <x:c r="Q196" s="81" t="str">
        <x:f>'TESTI'!J29</x:f>
        <x:v>https://diaridipelle.it/legami.html</x:v>
      </x:c>
      <x:c r="R196" s="81" t="str">
        <x:v>App Instagram</x:v>
      </x:c>
      <x:c r="S196" s="117" t="str">
        <x:v>Programmabile</x:v>
      </x:c>
      <x:c r="T196" s="117" t="str">
        <x:v>Da fare</x:v>
      </x:c>
      <x:c r="U196" s="81" t="str">
        <x:v>Verifica che nessuna slide sia tagliata. Il link è nel profilo.</x:v>
      </x:c>
      <x:c r="V196" s="81" t="str">
        <x:f>IF(AND(E196&lt;TODAY(),T196&lt;&gt;"Pubblicato"),"SÌ","")</x:f>
      </x:c>
    </x:row>
    <x:row r="197" ht="78" customHeight="1">
      <x:c r="A197" s="117" t="str">
        <x:v>T196</x:v>
      </x:c>
      <x:c r="B197" s="117" t="n">
        <x:v>14</x:v>
      </x:c>
      <x:c r="C197" s="118" t="n">
        <x:f>'CAMPAGNE'!F29</x:f>
        <x:v>46320</x:v>
      </x:c>
      <x:c r="D197" s="119" t="n">
        <x:v>0.75</x:v>
      </x:c>
      <x:c r="E197" s="120" t="n">
        <x:f>'CAMPAGNE'!J29</x:f>
        <x:v>46334</x:v>
      </x:c>
      <x:c r="F197" s="117" t="str">
        <x:f>CHOOSE(WEEKDAY(E197,2),"Lunedì","Martedì","Mercoledì","Giovedì","Venerdì","Sabato","Domenica")</x:f>
        <x:v>Domenica</x:v>
      </x:c>
      <x:c r="G197" s="119" t="n">
        <x:v>0.4583333333333333</x:v>
      </x:c>
      <x:c r="H197" s="117" t="str">
        <x:v>Facebook</x:v>
      </x:c>
      <x:c r="I197" s="117" t="str">
        <x:v>Carosello</x:v>
      </x:c>
      <x:c r="J197" s="81" t="str">
        <x:v>Legami</x:v>
      </x:c>
      <x:c r="K197" s="117" t="str">
        <x:v>CH05</x:v>
      </x:c>
      <x:c r="L197" s="81" t="str">
        <x:v>Il Morso</x:v>
      </x:c>
      <x:c r="M197" s="81" t="str">
        <x:v>Carica le tre immagini nell'ordine 01, 02, 03; incolla la caption e programma.</x:v>
      </x:c>
      <x:c r="N197" s="81" t="str">
        <x:v>Legami_Social_Pack/03_CAROUSELS/CH05/CH05_01.jpg
Legami_Social_Pack/03_CAROUSELS/CH05/CH05_02.jpg
Legami_Social_Pack/03_CAROUSELS/CH05/CH05_03.jpg</x:v>
      </x:c>
      <x:c r="O197" s="81" t="str">
        <x:v>Ordine obbligatorio: 01 → 02 → 03</x:v>
      </x:c>
      <x:c r="P197" s="81" t="str">
        <x:f>'TESTI'!F29</x:f>
        <x:v>Bologna, luglio. Una cena, il vino, una donna arrivata da Chicago e una notte troppo intensa per diventare abitudine.
Joy entra come una fame rapida e luminosa. Solo dopo arriva la verità: stava per sposarsi. Il ricordo cambia sapore e ciò che sembrava libertà diventa un ultimo segno lasciato sulla pelle.
Alcuni desideri sono troppo brevi per diventare casa e troppo veri per sparire.
Scopri Il Morso in Legămi dal link nel profilo.
🌐 https://diaridipelle.it/legami.html
🛒 Amazon: https://www.amazon.it/dp/B0GZJR8FSJ
#DiariDiPelle #Legami #IlMorso #Bologna #LibriDaLeggere</x:v>
      </x:c>
      <x:c r="Q197" s="81" t="str">
        <x:f>'TESTI'!J29</x:f>
        <x:v>https://diaridipelle.it/legami.html</x:v>
      </x:c>
      <x:c r="R197" s="81" t="str">
        <x:v>Meta Business Suite</x:v>
      </x:c>
      <x:c r="S197" s="117" t="str">
        <x:v>Programmabile</x:v>
      </x:c>
      <x:c r="T197" s="117" t="str">
        <x:v>Da fare</x:v>
      </x:c>
      <x:c r="U197" s="81" t="str">
        <x:v>Controlla ordine delle immagini e collegamenti nella caption.</x:v>
      </x:c>
      <x:c r="V197" s="81" t="str">
        <x:f>IF(AND(E197&lt;TODAY(),T197&lt;&gt;"Pubblicato"),"SÌ","")</x:f>
      </x:c>
    </x:row>
    <x:row r="198" ht="78" customHeight="1">
      <x:c r="A198" s="117" t="str">
        <x:v>T197</x:v>
      </x:c>
      <x:c r="B198" s="117" t="n">
        <x:v>15</x:v>
      </x:c>
      <x:c r="C198" s="118" t="n">
        <x:f>'CAMPAGNE'!F30</x:f>
        <x:v>46320</x:v>
      </x:c>
      <x:c r="D198" s="119" t="n">
        <x:v>0.75</x:v>
      </x:c>
      <x:c r="E198" s="120" t="n">
        <x:f>'CAMPAGNE'!H30</x:f>
        <x:v>46336</x:v>
      </x:c>
      <x:c r="F198" s="117" t="str">
        <x:f>CHOOSE(WEEKDAY(E198,2),"Lunedì","Martedì","Mercoledì","Giovedì","Venerdì","Sabato","Domenica")</x:f>
        <x:v>Martedì</x:v>
      </x:c>
      <x:c r="G198" s="119" t="n">
        <x:v>0.8333333333333334</x:v>
      </x:c>
      <x:c r="H198" s="117" t="str">
        <x:v>Instagram</x:v>
      </x:c>
      <x:c r="I198" s="117" t="str">
        <x:v>Reel</x:v>
      </x:c>
      <x:c r="J198" s="81" t="str">
        <x:v>Legami</x:v>
      </x:c>
      <x:c r="K198" s="117" t="str">
        <x:v>CH06</x:v>
      </x:c>
      <x:c r="L198" s="81" t="str">
        <x:v>Le redini</x:v>
      </x:c>
      <x:c r="M198" s="81" t="str">
        <x:v>Carica il video, imposta la copertina, incolla la caption e programma.</x:v>
      </x:c>
      <x:c r="N198" s="81" t="str">
        <x:v>Legami_Social_Pack/01_REELS/CH06_reel.mp4</x:v>
      </x:c>
      <x:c r="O198" s="81" t="str">
        <x:v>Legami_Social_Pack/02_REEL_COVERS/CH06_cover.jpg</x:v>
      </x:c>
      <x:c r="P198" s="81" t="str">
        <x:f>'TESTI'!E30</x:f>
        <x:v>Tra salsa, gelosie e desiderio, Mariella vuole sentirsi finalmente scelta.
Per una notte le redini sembrano cambiare mano. Ma Roberto continua a occupare il centro anche quando non è nella stanza, e il comando si rivela un'illusione: non guida chi trattiene, ma chi l'altro decide ancora di seguire.
Le redini racconta la differenza tra possedere una scena e avere davvero un posto nella vita di qualcuno.
Leggi Legămi dal link nel profilo.
🛒 Amazon: https://www.amazon.it/dp/B0GZJR8FSJ
#DiariDiPelle #Legami #LeRedini #Salsa #NarrativaItaliana</x:v>
      </x:c>
      <x:c r="Q198" s="81" t="str">
        <x:f>'TESTI'!J30</x:f>
        <x:v>https://diaridipelle.it/legami.html</x:v>
      </x:c>
      <x:c r="R198" s="81" t="str">
        <x:v>App Instagram</x:v>
      </x:c>
      <x:c r="S198" s="117" t="str">
        <x:v>Programmabile</x:v>
      </x:c>
      <x:c r="T198" s="117" t="str">
        <x:v>Da fare</x:v>
      </x:c>
      <x:c r="U198" s="81" t="str">
        <x:v>Controlla audio, ritaglio 9:16 e anteprima copertina. Il link è nel profilo.</x:v>
      </x:c>
      <x:c r="V198" s="81" t="str">
        <x:f>IF(AND(E198&lt;TODAY(),T198&lt;&gt;"Pubblicato"),"SÌ","")</x:f>
      </x:c>
    </x:row>
    <x:row r="199" ht="78" customHeight="1">
      <x:c r="A199" s="117" t="str">
        <x:v>T198</x:v>
      </x:c>
      <x:c r="B199" s="117" t="n">
        <x:v>15</x:v>
      </x:c>
      <x:c r="C199" s="118" t="n">
        <x:f>'CAMPAGNE'!F30</x:f>
        <x:v>46320</x:v>
      </x:c>
      <x:c r="D199" s="119" t="n">
        <x:v>0.75</x:v>
      </x:c>
      <x:c r="E199" s="120" t="n">
        <x:f>'CAMPAGNE'!H30</x:f>
        <x:v>46336</x:v>
      </x:c>
      <x:c r="F199" s="117" t="str">
        <x:f>CHOOSE(WEEKDAY(E199,2),"Lunedì","Martedì","Mercoledì","Giovedì","Venerdì","Sabato","Domenica")</x:f>
        <x:v>Martedì</x:v>
      </x:c>
      <x:c r="G199" s="119" t="n">
        <x:v>0.8333333333333334</x:v>
      </x:c>
      <x:c r="H199" s="117" t="str">
        <x:v>Facebook</x:v>
      </x:c>
      <x:c r="I199" s="117" t="str">
        <x:v>Reel</x:v>
      </x:c>
      <x:c r="J199" s="81" t="str">
        <x:v>Legami</x:v>
      </x:c>
      <x:c r="K199" s="117" t="str">
        <x:v>CH06</x:v>
      </x:c>
      <x:c r="L199" s="81" t="str">
        <x:v>Le redini</x:v>
      </x:c>
      <x:c r="M199" s="81" t="str">
        <x:v>Crea un Reel nella Pagina, carica video e copertina, incolla la caption e programma.</x:v>
      </x:c>
      <x:c r="N199" s="81" t="str">
        <x:v>Legami_Social_Pack/01_REELS/CH06_reel.mp4</x:v>
      </x:c>
      <x:c r="O199" s="81" t="str">
        <x:v>Legami_Social_Pack/02_REEL_COVERS/CH06_cover.jpg</x:v>
      </x:c>
      <x:c r="P199" s="81" t="str">
        <x:f>'TESTI'!F30</x:f>
        <x:v>Tra salsa, gelosie e desiderio, Mariella vuole sentirsi finalmente scelta.
Per una notte le redini sembrano cambiare mano. Ma Roberto continua a occupare il centro anche quando non è nella stanza, e il comando si rivela un'illusione: non guida chi trattiene, ma chi l'altro decide ancora di seguire.
Le redini racconta la differenza tra possedere una scena e avere davvero un posto nella vita di qualcuno.
Leggi Legămi dal link nel profilo.
🌐 https://diaridipelle.it/legami.html
🛒 Amazon: https://www.amazon.it/dp/B0GZJR8FSJ
#DiariDiPelle #Legami #LeRedini #Salsa #NarrativaItaliana</x:v>
      </x:c>
      <x:c r="Q199" s="81" t="str">
        <x:f>'TESTI'!J30</x:f>
        <x:v>https://diaridipelle.it/legami.html</x:v>
      </x:c>
      <x:c r="R199" s="81" t="str">
        <x:v>Meta Business Suite</x:v>
      </x:c>
      <x:c r="S199" s="117" t="str">
        <x:v>Programmabile</x:v>
      </x:c>
      <x:c r="T199" s="117" t="str">
        <x:v>Da fare</x:v>
      </x:c>
      <x:c r="U199" s="81" t="str">
        <x:v>Pubblica sulla Pagina Facebook. I collegamenti nella caption sono cliccabili.</x:v>
      </x:c>
      <x:c r="V199" s="81" t="str">
        <x:f>IF(AND(E199&lt;TODAY(),T199&lt;&gt;"Pubblicato"),"SÌ","")</x:f>
      </x:c>
    </x:row>
    <x:row r="200" ht="78" customHeight="1">
      <x:c r="A200" s="117" t="str">
        <x:v>T199</x:v>
      </x:c>
      <x:c r="B200" s="117" t="n">
        <x:v>15</x:v>
      </x:c>
      <x:c r="C200" s="118" t="n">
        <x:f>'CAMPAGNE'!G30</x:f>
        <x:v>46334</x:v>
      </x:c>
      <x:c r="D200" s="119" t="n">
        <x:v>0.75</x:v>
      </x:c>
      <x:c r="E200" s="120" t="n">
        <x:f>'CAMPAGNE'!H30</x:f>
        <x:v>46336</x:v>
      </x:c>
      <x:c r="F200" s="117" t="str">
        <x:f>CHOOSE(WEEKDAY(E200,2),"Lunedì","Martedì","Mercoledì","Giovedì","Venerdì","Sabato","Domenica")</x:f>
        <x:v>Martedì</x:v>
      </x:c>
      <x:c r="G200" s="119" t="n">
        <x:v>0.8333333333333334</x:v>
      </x:c>
      <x:c r="H200" s="117" t="str">
        <x:v>TikTok</x:v>
      </x:c>
      <x:c r="I200" s="117" t="str">
        <x:v>Video</x:v>
      </x:c>
      <x:c r="J200" s="81" t="str">
        <x:v>Legami</x:v>
      </x:c>
      <x:c r="K200" s="117" t="str">
        <x:v>CH06</x:v>
      </x:c>
      <x:c r="L200" s="81" t="str">
        <x:v>Le redini</x:v>
      </x:c>
      <x:c r="M200" s="81" t="str">
        <x:v>Carica il video in TikTok Studio, scegli la copertina, incolla la caption breve e programma.</x:v>
      </x:c>
      <x:c r="N200" s="81" t="str">
        <x:v>Legami_Social_Pack/01_REELS/CH06_reel.mp4</x:v>
      </x:c>
      <x:c r="O200" s="81" t="str">
        <x:v>Legami_Social_Pack/02_REEL_COVERS/CH06_cover.jpg</x:v>
      </x:c>
      <x:c r="P200" s="81" t="str">
        <x:f>'TESTI'!G30</x:f>
        <x:v>Tra salsa, gelosie e desiderio, Mariella vuole sentirsi finalmente scelta.
«Le redini» da Legami.
Scopri il libro dal link in bio.
#DiariDiPelle #Legami #BookTokItalia #LibriTikTok</x:v>
      </x:c>
      <x:c r="Q200" s="81" t="str">
        <x:f>'TESTI'!J30</x:f>
        <x:v>https://diaridipelle.it/legami.html</x:v>
      </x:c>
      <x:c r="R200" s="81" t="str">
        <x:v>TikTok Studio</x:v>
      </x:c>
      <x:c r="S200" s="117" t="str">
        <x:v>Programmabile entro 10 giorni</x:v>
      </x:c>
      <x:c r="T200" s="117" t="str">
        <x:v>Da fare</x:v>
      </x:c>
      <x:c r="U200" s="81" t="str">
        <x:v>Non aggiungere watermark. Controlla anteprima verticale e audio.</x:v>
      </x:c>
      <x:c r="V200" s="81" t="str">
        <x:f>IF(AND(E200&lt;TODAY(),T200&lt;&gt;"Pubblicato"),"SÌ","")</x:f>
      </x:c>
    </x:row>
    <x:row r="201" ht="78" customHeight="1">
      <x:c r="A201" s="117" t="str">
        <x:v>T200</x:v>
      </x:c>
      <x:c r="B201" s="117" t="n">
        <x:v>15</x:v>
      </x:c>
      <x:c r="C201" s="118" t="n">
        <x:f>'CAMPAGNE'!I30</x:f>
        <x:v>46337</x:v>
      </x:c>
      <x:c r="D201" s="119" t="n">
        <x:v>0.4965277777777778</x:v>
      </x:c>
      <x:c r="E201" s="120" t="n">
        <x:f>'CAMPAGNE'!I30</x:f>
        <x:v>46337</x:v>
      </x:c>
      <x:c r="F201" s="117" t="str">
        <x:f>CHOOSE(WEEKDAY(E201,2),"Lunedì","Martedì","Mercoledì","Giovedì","Venerdì","Sabato","Domenica")</x:f>
        <x:v>Mercoledì</x:v>
      </x:c>
      <x:c r="G201" s="119" t="n">
        <x:v>0.5</x:v>
      </x:c>
      <x:c r="H201" s="117" t="str">
        <x:v>Instagram</x:v>
      </x:c>
      <x:c r="I201" s="117" t="str">
        <x:v>Storia</x:v>
      </x:c>
      <x:c r="J201" s="81" t="str">
        <x:v>Legami</x:v>
      </x:c>
      <x:c r="K201" s="117" t="str">
        <x:v>CH06</x:v>
      </x:c>
      <x:c r="L201" s="81" t="str">
        <x:v>Le redini</x:v>
      </x:c>
      <x:c r="M201" s="81" t="str">
        <x:v>Carica l'immagine, aggiungi l'adesivo Link e pubblica.</x:v>
      </x:c>
      <x:c r="N201" s="81" t="str">
        <x:v>Legami_Social_Pack/04_STORIES/CH06_story.jpg</x:v>
      </x:c>
      <x:c r="O201" s="81" t="str">
        <x:v>Legami_Social_Pack/05_CAPTIONS/CH06_story_link.txt</x:v>
      </x:c>
      <x:c r="P201" s="81" t="str">
        <x:f>'TESTI'!N30</x:f>
        <x:v>Tocca SCOPRI IL LIBRO e scegli cartaceo o Kindle.</x:v>
      </x:c>
      <x:c r="Q201" s="81" t="str">
        <x:f>'TESTI'!H30</x:f>
        <x:v>https://diaridipelle.it/legami.html?utm_source=instagram&amp;utm_medium=story&amp;utm_campaign=legami&amp;utm_content=ch06</x:v>
      </x:c>
      <x:c r="R201" s="81" t="str">
        <x:v>App Instagram</x:v>
      </x:c>
      <x:c r="S201" s="117" t="str">
        <x:v>Manuale</x:v>
      </x:c>
      <x:c r="T201" s="117" t="str">
        <x:v>Da fare</x:v>
      </x:c>
      <x:c r="U201" s="81" t="str">
        <x:v>La data lavoro è lo stesso giorno, 5 minuti prima. Testo adesivo: SCOPRI IL LIBRO.</x:v>
      </x:c>
      <x:c r="V201" s="81" t="str">
        <x:f>IF(AND(E201&lt;TODAY(),T201&lt;&gt;"Pubblicato"),"SÌ","")</x:f>
      </x:c>
    </x:row>
    <x:row r="202" ht="78" customHeight="1">
      <x:c r="A202" s="117" t="str">
        <x:v>T201</x:v>
      </x:c>
      <x:c r="B202" s="117" t="n">
        <x:v>15</x:v>
      </x:c>
      <x:c r="C202" s="118" t="n">
        <x:f>'CAMPAGNE'!F30</x:f>
        <x:v>46320</x:v>
      </x:c>
      <x:c r="D202" s="119" t="n">
        <x:v>0.75</x:v>
      </x:c>
      <x:c r="E202" s="120" t="n">
        <x:f>'CAMPAGNE'!I30</x:f>
        <x:v>46337</x:v>
      </x:c>
      <x:c r="F202" s="117" t="str">
        <x:f>CHOOSE(WEEKDAY(E202,2),"Lunedì","Martedì","Mercoledì","Giovedì","Venerdì","Sabato","Domenica")</x:f>
        <x:v>Mercoledì</x:v>
      </x:c>
      <x:c r="G202" s="119" t="n">
        <x:v>0.5</x:v>
      </x:c>
      <x:c r="H202" s="117" t="str">
        <x:v>Facebook</x:v>
      </x:c>
      <x:c r="I202" s="117" t="str">
        <x:v>Storia</x:v>
      </x:c>
      <x:c r="J202" s="81" t="str">
        <x:v>Legami</x:v>
      </x:c>
      <x:c r="K202" s="117" t="str">
        <x:v>CH06</x:v>
      </x:c>
      <x:c r="L202" s="81" t="str">
        <x:v>Le redini</x:v>
      </x:c>
      <x:c r="M202" s="81" t="str">
        <x:v>Crea una Storia della Pagina, carica l'immagine, aggiungi il link e programma.</x:v>
      </x:c>
      <x:c r="N202" s="81" t="str">
        <x:v>Legami_Social_Pack/04_STORIES/CH06_story.jpg</x:v>
      </x:c>
      <x:c r="O202" s="81" t="str">
        <x:v>Legami_Social_Pack/05_CAPTIONS/CH06_story_link.txt</x:v>
      </x:c>
      <x:c r="P202" s="81" t="str">
        <x:f>'TESTI'!N30</x:f>
        <x:v>Tocca SCOPRI IL LIBRO e scegli cartaceo o Kindle.</x:v>
      </x:c>
      <x:c r="Q202" s="81" t="str">
        <x:f>'TESTI'!I30</x:f>
        <x:v>https://diaridipelle.it/legami.html?utm_source=facebook&amp;utm_medium=story&amp;utm_campaign=legami&amp;utm_content=ch06</x:v>
      </x:c>
      <x:c r="R202" s="81" t="str">
        <x:v>Meta Business Suite</x:v>
      </x:c>
      <x:c r="S202" s="117" t="str">
        <x:v>Programmabile</x:v>
      </x:c>
      <x:c r="T202" s="117" t="str">
        <x:v>Da fare</x:v>
      </x:c>
      <x:c r="U202" s="81" t="str">
        <x:v>Controlla che la destinazione sia la Pagina Facebook.</x:v>
      </x:c>
      <x:c r="V202" s="81" t="str">
        <x:f>IF(AND(E202&lt;TODAY(),T202&lt;&gt;"Pubblicato"),"SÌ","")</x:f>
      </x:c>
    </x:row>
    <x:row r="203" ht="78" customHeight="1">
      <x:c r="A203" s="117" t="str">
        <x:v>T202</x:v>
      </x:c>
      <x:c r="B203" s="117" t="n">
        <x:v>15</x:v>
      </x:c>
      <x:c r="C203" s="118" t="n">
        <x:f>'CAMPAGNE'!F30</x:f>
        <x:v>46320</x:v>
      </x:c>
      <x:c r="D203" s="119" t="n">
        <x:v>0.75</x:v>
      </x:c>
      <x:c r="E203" s="120" t="n">
        <x:f>'CAMPAGNE'!J30</x:f>
        <x:v>46338</x:v>
      </x:c>
      <x:c r="F203" s="117" t="str">
        <x:f>CHOOSE(WEEKDAY(E203,2),"Lunedì","Martedì","Mercoledì","Giovedì","Venerdì","Sabato","Domenica")</x:f>
        <x:v>Giovedì</x:v>
      </x:c>
      <x:c r="G203" s="119" t="n">
        <x:v>0.8333333333333334</x:v>
      </x:c>
      <x:c r="H203" s="117" t="str">
        <x:v>Instagram</x:v>
      </x:c>
      <x:c r="I203" s="117" t="str">
        <x:v>Carosello</x:v>
      </x:c>
      <x:c r="J203" s="81" t="str">
        <x:v>Legami</x:v>
      </x:c>
      <x:c r="K203" s="117" t="str">
        <x:v>CH06</x:v>
      </x:c>
      <x:c r="L203" s="81" t="str">
        <x:v>Le redini</x:v>
      </x:c>
      <x:c r="M203" s="81" t="str">
        <x:v>Carica le tre immagini nell'ordine 01, 02, 03; incolla la caption e programma.</x:v>
      </x:c>
      <x:c r="N203" s="81" t="str">
        <x:v>Legami_Social_Pack/03_CAROUSELS/CH06/CH06_01.jpg
Legami_Social_Pack/03_CAROUSELS/CH06/CH06_02.jpg
Legami_Social_Pack/03_CAROUSELS/CH06/CH06_03.jpg</x:v>
      </x:c>
      <x:c r="O203" s="81" t="str">
        <x:v>Ordine obbligatorio: 01 → 02 → 03</x:v>
      </x:c>
      <x:c r="P203" s="81" t="str">
        <x:f>'TESTI'!E30</x:f>
        <x:v>Tra salsa, gelosie e desiderio, Mariella vuole sentirsi finalmente scelta.
Per una notte le redini sembrano cambiare mano. Ma Roberto continua a occupare il centro anche quando non è nella stanza, e il comando si rivela un'illusione: non guida chi trattiene, ma chi l'altro decide ancora di seguire.
Le redini racconta la differenza tra possedere una scena e avere davvero un posto nella vita di qualcuno.
Leggi Legămi dal link nel profilo.
🛒 Amazon: https://www.amazon.it/dp/B0GZJR8FSJ
#DiariDiPelle #Legami #LeRedini #Salsa #NarrativaItaliana</x:v>
      </x:c>
      <x:c r="Q203" s="81" t="str">
        <x:f>'TESTI'!J30</x:f>
        <x:v>https://diaridipelle.it/legami.html</x:v>
      </x:c>
      <x:c r="R203" s="81" t="str">
        <x:v>App Instagram</x:v>
      </x:c>
      <x:c r="S203" s="117" t="str">
        <x:v>Programmabile</x:v>
      </x:c>
      <x:c r="T203" s="117" t="str">
        <x:v>Da fare</x:v>
      </x:c>
      <x:c r="U203" s="81" t="str">
        <x:v>Verifica che nessuna slide sia tagliata. Il link è nel profilo.</x:v>
      </x:c>
      <x:c r="V203" s="81" t="str">
        <x:f>IF(AND(E203&lt;TODAY(),T203&lt;&gt;"Pubblicato"),"SÌ","")</x:f>
      </x:c>
    </x:row>
    <x:row r="204" ht="78" customHeight="1">
      <x:c r="A204" s="117" t="str">
        <x:v>T203</x:v>
      </x:c>
      <x:c r="B204" s="117" t="n">
        <x:v>15</x:v>
      </x:c>
      <x:c r="C204" s="118" t="n">
        <x:f>'CAMPAGNE'!F30</x:f>
        <x:v>46320</x:v>
      </x:c>
      <x:c r="D204" s="119" t="n">
        <x:v>0.75</x:v>
      </x:c>
      <x:c r="E204" s="120" t="n">
        <x:f>'CAMPAGNE'!J30</x:f>
        <x:v>46338</x:v>
      </x:c>
      <x:c r="F204" s="117" t="str">
        <x:f>CHOOSE(WEEKDAY(E204,2),"Lunedì","Martedì","Mercoledì","Giovedì","Venerdì","Sabato","Domenica")</x:f>
        <x:v>Giovedì</x:v>
      </x:c>
      <x:c r="G204" s="119" t="n">
        <x:v>0.8333333333333334</x:v>
      </x:c>
      <x:c r="H204" s="117" t="str">
        <x:v>Facebook</x:v>
      </x:c>
      <x:c r="I204" s="117" t="str">
        <x:v>Carosello</x:v>
      </x:c>
      <x:c r="J204" s="81" t="str">
        <x:v>Legami</x:v>
      </x:c>
      <x:c r="K204" s="117" t="str">
        <x:v>CH06</x:v>
      </x:c>
      <x:c r="L204" s="81" t="str">
        <x:v>Le redini</x:v>
      </x:c>
      <x:c r="M204" s="81" t="str">
        <x:v>Carica le tre immagini nell'ordine 01, 02, 03; incolla la caption e programma.</x:v>
      </x:c>
      <x:c r="N204" s="81" t="str">
        <x:v>Legami_Social_Pack/03_CAROUSELS/CH06/CH06_01.jpg
Legami_Social_Pack/03_CAROUSELS/CH06/CH06_02.jpg
Legami_Social_Pack/03_CAROUSELS/CH06/CH06_03.jpg</x:v>
      </x:c>
      <x:c r="O204" s="81" t="str">
        <x:v>Ordine obbligatorio: 01 → 02 → 03</x:v>
      </x:c>
      <x:c r="P204" s="81" t="str">
        <x:f>'TESTI'!F30</x:f>
        <x:v>Tra salsa, gelosie e desiderio, Mariella vuole sentirsi finalmente scelta.
Per una notte le redini sembrano cambiare mano. Ma Roberto continua a occupare il centro anche quando non è nella stanza, e il comando si rivela un'illusione: non guida chi trattiene, ma chi l'altro decide ancora di seguire.
Le redini racconta la differenza tra possedere una scena e avere davvero un posto nella vita di qualcuno.
Leggi Legămi dal link nel profilo.
🌐 https://diaridipelle.it/legami.html
🛒 Amazon: https://www.amazon.it/dp/B0GZJR8FSJ
#DiariDiPelle #Legami #LeRedini #Salsa #NarrativaItaliana</x:v>
      </x:c>
      <x:c r="Q204" s="81" t="str">
        <x:f>'TESTI'!J30</x:f>
        <x:v>https://diaridipelle.it/legami.html</x:v>
      </x:c>
      <x:c r="R204" s="81" t="str">
        <x:v>Meta Business Suite</x:v>
      </x:c>
      <x:c r="S204" s="117" t="str">
        <x:v>Programmabile</x:v>
      </x:c>
      <x:c r="T204" s="117" t="str">
        <x:v>Da fare</x:v>
      </x:c>
      <x:c r="U204" s="81" t="str">
        <x:v>Controlla ordine delle immagini e collegamenti nella caption.</x:v>
      </x:c>
      <x:c r="V204" s="81" t="str">
        <x:f>IF(AND(E204&lt;TODAY(),T204&lt;&gt;"Pubblicato"),"SÌ","")</x:f>
      </x:c>
    </x:row>
    <x:row r="205" ht="78" customHeight="1">
      <x:c r="A205" s="117" t="str">
        <x:v>T204</x:v>
      </x:c>
      <x:c r="B205" s="117" t="n">
        <x:v>15</x:v>
      </x:c>
      <x:c r="C205" s="118" t="n">
        <x:f>'CAMPAGNE'!F31</x:f>
        <x:v>46320</x:v>
      </x:c>
      <x:c r="D205" s="119" t="n">
        <x:v>0.75</x:v>
      </x:c>
      <x:c r="E205" s="120" t="n">
        <x:f>'CAMPAGNE'!H31</x:f>
        <x:v>46339</x:v>
      </x:c>
      <x:c r="F205" s="117" t="str">
        <x:f>CHOOSE(WEEKDAY(E205,2),"Lunedì","Martedì","Mercoledì","Giovedì","Venerdì","Sabato","Domenica")</x:f>
        <x:v>Venerdì</x:v>
      </x:c>
      <x:c r="G205" s="119" t="n">
        <x:v>0.8333333333333334</x:v>
      </x:c>
      <x:c r="H205" s="117" t="str">
        <x:v>Instagram</x:v>
      </x:c>
      <x:c r="I205" s="117" t="str">
        <x:v>Reel</x:v>
      </x:c>
      <x:c r="J205" s="81" t="str">
        <x:v>Legami</x:v>
      </x:c>
      <x:c r="K205" s="117" t="str">
        <x:v>CH07</x:v>
      </x:c>
      <x:c r="L205" s="81" t="str">
        <x:v>La catena</x:v>
      </x:c>
      <x:c r="M205" s="81" t="str">
        <x:v>Carica il video, imposta la copertina, incolla la caption e programma.</x:v>
      </x:c>
      <x:c r="N205" s="81" t="str">
        <x:v>Legami_Social_Pack/01_REELS/CH07_reel.mp4</x:v>
      </x:c>
      <x:c r="O205" s="81" t="str">
        <x:v>Legami_Social_Pack/02_REEL_COVERS/CH07_cover.jpg</x:v>
      </x:c>
      <x:c r="P205" s="81" t="str">
        <x:f>'TESTI'!E31</x:f>
        <x:v>Verona doveva essere una sorpresa romantica. Una stanza d'albergo trasforma invece il gioco in paura, corsa e vergogna.
Davanti all'Arena, una croce verde diventa il confine tra intimità e giudizio. Molto tempo dopo, quando Ella ritorna sotto casa, la catena mostra la sua vera forza: aveva continuato a tirare anche durante l'assenza.
La catena è il settimo capitolo di Legămi.
Scopri il libro dal link nel profilo.
🛒 Amazon: https://www.amazon.it/dp/B0GZJR8FSJ
#DiariDiPelle #Legami #LaCatena #Verona #NarrativaContemporanea</x:v>
      </x:c>
      <x:c r="Q205" s="81" t="str">
        <x:f>'TESTI'!J31</x:f>
        <x:v>https://diaridipelle.it/legami.html</x:v>
      </x:c>
      <x:c r="R205" s="81" t="str">
        <x:v>App Instagram</x:v>
      </x:c>
      <x:c r="S205" s="117" t="str">
        <x:v>Programmabile</x:v>
      </x:c>
      <x:c r="T205" s="117" t="str">
        <x:v>Da fare</x:v>
      </x:c>
      <x:c r="U205" s="81" t="str">
        <x:v>Controlla audio, ritaglio 9:16 e anteprima copertina. Il link è nel profilo.</x:v>
      </x:c>
      <x:c r="V205" s="81" t="str">
        <x:f>IF(AND(E205&lt;TODAY(),T205&lt;&gt;"Pubblicato"),"SÌ","")</x:f>
      </x:c>
    </x:row>
    <x:row r="206" ht="78" customHeight="1">
      <x:c r="A206" s="117" t="str">
        <x:v>T205</x:v>
      </x:c>
      <x:c r="B206" s="117" t="n">
        <x:v>15</x:v>
      </x:c>
      <x:c r="C206" s="118" t="n">
        <x:f>'CAMPAGNE'!F31</x:f>
        <x:v>46320</x:v>
      </x:c>
      <x:c r="D206" s="119" t="n">
        <x:v>0.75</x:v>
      </x:c>
      <x:c r="E206" s="120" t="n">
        <x:f>'CAMPAGNE'!H31</x:f>
        <x:v>46339</x:v>
      </x:c>
      <x:c r="F206" s="117" t="str">
        <x:f>CHOOSE(WEEKDAY(E206,2),"Lunedì","Martedì","Mercoledì","Giovedì","Venerdì","Sabato","Domenica")</x:f>
        <x:v>Venerdì</x:v>
      </x:c>
      <x:c r="G206" s="119" t="n">
        <x:v>0.8333333333333334</x:v>
      </x:c>
      <x:c r="H206" s="117" t="str">
        <x:v>Facebook</x:v>
      </x:c>
      <x:c r="I206" s="117" t="str">
        <x:v>Reel</x:v>
      </x:c>
      <x:c r="J206" s="81" t="str">
        <x:v>Legami</x:v>
      </x:c>
      <x:c r="K206" s="117" t="str">
        <x:v>CH07</x:v>
      </x:c>
      <x:c r="L206" s="81" t="str">
        <x:v>La catena</x:v>
      </x:c>
      <x:c r="M206" s="81" t="str">
        <x:v>Crea un Reel nella Pagina, carica video e copertina, incolla la caption e programma.</x:v>
      </x:c>
      <x:c r="N206" s="81" t="str">
        <x:v>Legami_Social_Pack/01_REELS/CH07_reel.mp4</x:v>
      </x:c>
      <x:c r="O206" s="81" t="str">
        <x:v>Legami_Social_Pack/02_REEL_COVERS/CH07_cover.jpg</x:v>
      </x:c>
      <x:c r="P206" s="81" t="str">
        <x:f>'TESTI'!F31</x:f>
        <x:v>Verona doveva essere una sorpresa romantica. Una stanza d'albergo trasforma invece il gioco in paura, corsa e vergogna.
Davanti all'Arena, una croce verde diventa il confine tra intimità e giudizio. Molto tempo dopo, quando Ella ritorna sotto casa, la catena mostra la sua vera forza: aveva continuato a tirare anche durante l'assenza.
La catena è il settimo capitolo di Legămi.
Scopri il libro dal link nel profilo.
🌐 https://diaridipelle.it/legami.html
🛒 Amazon: https://www.amazon.it/dp/B0GZJR8FSJ
#DiariDiPelle #Legami #LaCatena #Verona #NarrativaContemporanea</x:v>
      </x:c>
      <x:c r="Q206" s="81" t="str">
        <x:f>'TESTI'!J31</x:f>
        <x:v>https://diaridipelle.it/legami.html</x:v>
      </x:c>
      <x:c r="R206" s="81" t="str">
        <x:v>Meta Business Suite</x:v>
      </x:c>
      <x:c r="S206" s="117" t="str">
        <x:v>Programmabile</x:v>
      </x:c>
      <x:c r="T206" s="117" t="str">
        <x:v>Da fare</x:v>
      </x:c>
      <x:c r="U206" s="81" t="str">
        <x:v>Pubblica sulla Pagina Facebook. I collegamenti nella caption sono cliccabili.</x:v>
      </x:c>
      <x:c r="V206" s="81" t="str">
        <x:f>IF(AND(E206&lt;TODAY(),T206&lt;&gt;"Pubblicato"),"SÌ","")</x:f>
      </x:c>
    </x:row>
    <x:row r="207" ht="78" customHeight="1">
      <x:c r="A207" s="117" t="str">
        <x:v>T206</x:v>
      </x:c>
      <x:c r="B207" s="117" t="n">
        <x:v>15</x:v>
      </x:c>
      <x:c r="C207" s="118" t="n">
        <x:f>'CAMPAGNE'!G31</x:f>
        <x:v>46334</x:v>
      </x:c>
      <x:c r="D207" s="119" t="n">
        <x:v>0.75</x:v>
      </x:c>
      <x:c r="E207" s="120" t="n">
        <x:f>'CAMPAGNE'!H31</x:f>
        <x:v>46339</x:v>
      </x:c>
      <x:c r="F207" s="117" t="str">
        <x:f>CHOOSE(WEEKDAY(E207,2),"Lunedì","Martedì","Mercoledì","Giovedì","Venerdì","Sabato","Domenica")</x:f>
        <x:v>Venerdì</x:v>
      </x:c>
      <x:c r="G207" s="119" t="n">
        <x:v>0.8333333333333334</x:v>
      </x:c>
      <x:c r="H207" s="117" t="str">
        <x:v>TikTok</x:v>
      </x:c>
      <x:c r="I207" s="117" t="str">
        <x:v>Video</x:v>
      </x:c>
      <x:c r="J207" s="81" t="str">
        <x:v>Legami</x:v>
      </x:c>
      <x:c r="K207" s="117" t="str">
        <x:v>CH07</x:v>
      </x:c>
      <x:c r="L207" s="81" t="str">
        <x:v>La catena</x:v>
      </x:c>
      <x:c r="M207" s="81" t="str">
        <x:v>Carica il video in TikTok Studio, scegli la copertina, incolla la caption breve e programma.</x:v>
      </x:c>
      <x:c r="N207" s="81" t="str">
        <x:v>Legami_Social_Pack/01_REELS/CH07_reel.mp4</x:v>
      </x:c>
      <x:c r="O207" s="81" t="str">
        <x:v>Legami_Social_Pack/02_REEL_COVERS/CH07_cover.jpg</x:v>
      </x:c>
      <x:c r="P207" s="81" t="str">
        <x:f>'TESTI'!G31</x:f>
        <x:v>Verona doveva essere una sorpresa romantica. Una stanza d'albergo trasforma invece il gioco in paura, corsa e vergogna.
«La catena» da Legami.
Scopri il libro dal link in bio.
#DiariDiPelle #Legami #BookTokItalia #LibriTikTok</x:v>
      </x:c>
      <x:c r="Q207" s="81" t="str">
        <x:f>'TESTI'!J31</x:f>
        <x:v>https://diaridipelle.it/legami.html</x:v>
      </x:c>
      <x:c r="R207" s="81" t="str">
        <x:v>TikTok Studio</x:v>
      </x:c>
      <x:c r="S207" s="117" t="str">
        <x:v>Programmabile entro 10 giorni</x:v>
      </x:c>
      <x:c r="T207" s="117" t="str">
        <x:v>Da fare</x:v>
      </x:c>
      <x:c r="U207" s="81" t="str">
        <x:v>Non aggiungere watermark. Controlla anteprima verticale e audio.</x:v>
      </x:c>
      <x:c r="V207" s="81" t="str">
        <x:f>IF(AND(E207&lt;TODAY(),T207&lt;&gt;"Pubblicato"),"SÌ","")</x:f>
      </x:c>
    </x:row>
    <x:row r="208" ht="78" customHeight="1">
      <x:c r="A208" s="117" t="str">
        <x:v>T207</x:v>
      </x:c>
      <x:c r="B208" s="117" t="n">
        <x:v>15</x:v>
      </x:c>
      <x:c r="C208" s="118" t="n">
        <x:f>'CAMPAGNE'!I31</x:f>
        <x:v>46340</x:v>
      </x:c>
      <x:c r="D208" s="119" t="n">
        <x:v>0.4965277777777778</x:v>
      </x:c>
      <x:c r="E208" s="120" t="n">
        <x:f>'CAMPAGNE'!I31</x:f>
        <x:v>46340</x:v>
      </x:c>
      <x:c r="F208" s="117" t="str">
        <x:f>CHOOSE(WEEKDAY(E208,2),"Lunedì","Martedì","Mercoledì","Giovedì","Venerdì","Sabato","Domenica")</x:f>
        <x:v>Sabato</x:v>
      </x:c>
      <x:c r="G208" s="119" t="n">
        <x:v>0.5</x:v>
      </x:c>
      <x:c r="H208" s="117" t="str">
        <x:v>Instagram</x:v>
      </x:c>
      <x:c r="I208" s="117" t="str">
        <x:v>Storia</x:v>
      </x:c>
      <x:c r="J208" s="81" t="str">
        <x:v>Legami</x:v>
      </x:c>
      <x:c r="K208" s="117" t="str">
        <x:v>CH07</x:v>
      </x:c>
      <x:c r="L208" s="81" t="str">
        <x:v>La catena</x:v>
      </x:c>
      <x:c r="M208" s="81" t="str">
        <x:v>Carica l'immagine, aggiungi l'adesivo Link e pubblica.</x:v>
      </x:c>
      <x:c r="N208" s="81" t="str">
        <x:v>Legami_Social_Pack/04_STORIES/CH07_story.jpg</x:v>
      </x:c>
      <x:c r="O208" s="81" t="str">
        <x:v>Legami_Social_Pack/05_CAPTIONS/CH07_story_link.txt</x:v>
      </x:c>
      <x:c r="P208" s="81" t="str">
        <x:f>'TESTI'!N31</x:f>
        <x:v>Tocca SCOPRI IL LIBRO e scegli cartaceo o Kindle.</x:v>
      </x:c>
      <x:c r="Q208" s="81" t="str">
        <x:f>'TESTI'!H31</x:f>
        <x:v>https://diaridipelle.it/legami.html?utm_source=instagram&amp;utm_medium=story&amp;utm_campaign=legami&amp;utm_content=ch07</x:v>
      </x:c>
      <x:c r="R208" s="81" t="str">
        <x:v>App Instagram</x:v>
      </x:c>
      <x:c r="S208" s="117" t="str">
        <x:v>Manuale</x:v>
      </x:c>
      <x:c r="T208" s="117" t="str">
        <x:v>Da fare</x:v>
      </x:c>
      <x:c r="U208" s="81" t="str">
        <x:v>La data lavoro è lo stesso giorno, 5 minuti prima. Testo adesivo: SCOPRI IL LIBRO.</x:v>
      </x:c>
      <x:c r="V208" s="81" t="str">
        <x:f>IF(AND(E208&lt;TODAY(),T208&lt;&gt;"Pubblicato"),"SÌ","")</x:f>
      </x:c>
    </x:row>
    <x:row r="209" ht="78" customHeight="1">
      <x:c r="A209" s="117" t="str">
        <x:v>T208</x:v>
      </x:c>
      <x:c r="B209" s="117" t="n">
        <x:v>15</x:v>
      </x:c>
      <x:c r="C209" s="118" t="n">
        <x:f>'CAMPAGNE'!F31</x:f>
        <x:v>46320</x:v>
      </x:c>
      <x:c r="D209" s="119" t="n">
        <x:v>0.75</x:v>
      </x:c>
      <x:c r="E209" s="120" t="n">
        <x:f>'CAMPAGNE'!I31</x:f>
        <x:v>46340</x:v>
      </x:c>
      <x:c r="F209" s="117" t="str">
        <x:f>CHOOSE(WEEKDAY(E209,2),"Lunedì","Martedì","Mercoledì","Giovedì","Venerdì","Sabato","Domenica")</x:f>
        <x:v>Sabato</x:v>
      </x:c>
      <x:c r="G209" s="119" t="n">
        <x:v>0.5</x:v>
      </x:c>
      <x:c r="H209" s="117" t="str">
        <x:v>Facebook</x:v>
      </x:c>
      <x:c r="I209" s="117" t="str">
        <x:v>Storia</x:v>
      </x:c>
      <x:c r="J209" s="81" t="str">
        <x:v>Legami</x:v>
      </x:c>
      <x:c r="K209" s="117" t="str">
        <x:v>CH07</x:v>
      </x:c>
      <x:c r="L209" s="81" t="str">
        <x:v>La catena</x:v>
      </x:c>
      <x:c r="M209" s="81" t="str">
        <x:v>Crea una Storia della Pagina, carica l'immagine, aggiungi il link e programma.</x:v>
      </x:c>
      <x:c r="N209" s="81" t="str">
        <x:v>Legami_Social_Pack/04_STORIES/CH07_story.jpg</x:v>
      </x:c>
      <x:c r="O209" s="81" t="str">
        <x:v>Legami_Social_Pack/05_CAPTIONS/CH07_story_link.txt</x:v>
      </x:c>
      <x:c r="P209" s="81" t="str">
        <x:f>'TESTI'!N31</x:f>
        <x:v>Tocca SCOPRI IL LIBRO e scegli cartaceo o Kindle.</x:v>
      </x:c>
      <x:c r="Q209" s="81" t="str">
        <x:f>'TESTI'!I31</x:f>
        <x:v>https://diaridipelle.it/legami.html?utm_source=facebook&amp;utm_medium=story&amp;utm_campaign=legami&amp;utm_content=ch07</x:v>
      </x:c>
      <x:c r="R209" s="81" t="str">
        <x:v>Meta Business Suite</x:v>
      </x:c>
      <x:c r="S209" s="117" t="str">
        <x:v>Programmabile</x:v>
      </x:c>
      <x:c r="T209" s="117" t="str">
        <x:v>Da fare</x:v>
      </x:c>
      <x:c r="U209" s="81" t="str">
        <x:v>Controlla che la destinazione sia la Pagina Facebook.</x:v>
      </x:c>
      <x:c r="V209" s="81" t="str">
        <x:f>IF(AND(E209&lt;TODAY(),T209&lt;&gt;"Pubblicato"),"SÌ","")</x:f>
      </x:c>
    </x:row>
    <x:row r="210" ht="78" customHeight="1">
      <x:c r="A210" s="117" t="str">
        <x:v>T209</x:v>
      </x:c>
      <x:c r="B210" s="117" t="n">
        <x:v>15</x:v>
      </x:c>
      <x:c r="C210" s="118" t="n">
        <x:f>'CAMPAGNE'!F31</x:f>
        <x:v>46320</x:v>
      </x:c>
      <x:c r="D210" s="119" t="n">
        <x:v>0.75</x:v>
      </x:c>
      <x:c r="E210" s="120" t="n">
        <x:f>'CAMPAGNE'!J31</x:f>
        <x:v>46341</x:v>
      </x:c>
      <x:c r="F210" s="117" t="str">
        <x:f>CHOOSE(WEEKDAY(E210,2),"Lunedì","Martedì","Mercoledì","Giovedì","Venerdì","Sabato","Domenica")</x:f>
        <x:v>Domenica</x:v>
      </x:c>
      <x:c r="G210" s="119" t="n">
        <x:v>0.4583333333333333</x:v>
      </x:c>
      <x:c r="H210" s="117" t="str">
        <x:v>Instagram</x:v>
      </x:c>
      <x:c r="I210" s="117" t="str">
        <x:v>Carosello</x:v>
      </x:c>
      <x:c r="J210" s="81" t="str">
        <x:v>Legami</x:v>
      </x:c>
      <x:c r="K210" s="117" t="str">
        <x:v>CH07</x:v>
      </x:c>
      <x:c r="L210" s="81" t="str">
        <x:v>La catena</x:v>
      </x:c>
      <x:c r="M210" s="81" t="str">
        <x:v>Carica le tre immagini nell'ordine 01, 02, 03; incolla la caption e programma.</x:v>
      </x:c>
      <x:c r="N210" s="81" t="str">
        <x:v>Legami_Social_Pack/03_CAROUSELS/CH07/CH07_01.jpg
Legami_Social_Pack/03_CAROUSELS/CH07/CH07_02.jpg
Legami_Social_Pack/03_CAROUSELS/CH07/CH07_03.jpg</x:v>
      </x:c>
      <x:c r="O210" s="81" t="str">
        <x:v>Ordine obbligatorio: 01 → 02 → 03</x:v>
      </x:c>
      <x:c r="P210" s="81" t="str">
        <x:f>'TESTI'!E31</x:f>
        <x:v>Verona doveva essere una sorpresa romantica. Una stanza d'albergo trasforma invece il gioco in paura, corsa e vergogna.
Davanti all'Arena, una croce verde diventa il confine tra intimità e giudizio. Molto tempo dopo, quando Ella ritorna sotto casa, la catena mostra la sua vera forza: aveva continuato a tirare anche durante l'assenza.
La catena è il settimo capitolo di Legămi.
Scopri il libro dal link nel profilo.
🛒 Amazon: https://www.amazon.it/dp/B0GZJR8FSJ
#DiariDiPelle #Legami #LaCatena #Verona #NarrativaContemporanea</x:v>
      </x:c>
      <x:c r="Q210" s="81" t="str">
        <x:f>'TESTI'!J31</x:f>
        <x:v>https://diaridipelle.it/legami.html</x:v>
      </x:c>
      <x:c r="R210" s="81" t="str">
        <x:v>App Instagram</x:v>
      </x:c>
      <x:c r="S210" s="117" t="str">
        <x:v>Programmabile</x:v>
      </x:c>
      <x:c r="T210" s="117" t="str">
        <x:v>Da fare</x:v>
      </x:c>
      <x:c r="U210" s="81" t="str">
        <x:v>Verifica che nessuna slide sia tagliata. Il link è nel profilo.</x:v>
      </x:c>
      <x:c r="V210" s="81" t="str">
        <x:f>IF(AND(E210&lt;TODAY(),T210&lt;&gt;"Pubblicato"),"SÌ","")</x:f>
      </x:c>
    </x:row>
    <x:row r="211" ht="78" customHeight="1">
      <x:c r="A211" s="117" t="str">
        <x:v>T210</x:v>
      </x:c>
      <x:c r="B211" s="117" t="n">
        <x:v>15</x:v>
      </x:c>
      <x:c r="C211" s="118" t="n">
        <x:f>'CAMPAGNE'!F31</x:f>
        <x:v>46320</x:v>
      </x:c>
      <x:c r="D211" s="119" t="n">
        <x:v>0.75</x:v>
      </x:c>
      <x:c r="E211" s="120" t="n">
        <x:f>'CAMPAGNE'!J31</x:f>
        <x:v>46341</x:v>
      </x:c>
      <x:c r="F211" s="117" t="str">
        <x:f>CHOOSE(WEEKDAY(E211,2),"Lunedì","Martedì","Mercoledì","Giovedì","Venerdì","Sabato","Domenica")</x:f>
        <x:v>Domenica</x:v>
      </x:c>
      <x:c r="G211" s="119" t="n">
        <x:v>0.4583333333333333</x:v>
      </x:c>
      <x:c r="H211" s="117" t="str">
        <x:v>Facebook</x:v>
      </x:c>
      <x:c r="I211" s="117" t="str">
        <x:v>Carosello</x:v>
      </x:c>
      <x:c r="J211" s="81" t="str">
        <x:v>Legami</x:v>
      </x:c>
      <x:c r="K211" s="117" t="str">
        <x:v>CH07</x:v>
      </x:c>
      <x:c r="L211" s="81" t="str">
        <x:v>La catena</x:v>
      </x:c>
      <x:c r="M211" s="81" t="str">
        <x:v>Carica le tre immagini nell'ordine 01, 02, 03; incolla la caption e programma.</x:v>
      </x:c>
      <x:c r="N211" s="81" t="str">
        <x:v>Legami_Social_Pack/03_CAROUSELS/CH07/CH07_01.jpg
Legami_Social_Pack/03_CAROUSELS/CH07/CH07_02.jpg
Legami_Social_Pack/03_CAROUSELS/CH07/CH07_03.jpg</x:v>
      </x:c>
      <x:c r="O211" s="81" t="str">
        <x:v>Ordine obbligatorio: 01 → 02 → 03</x:v>
      </x:c>
      <x:c r="P211" s="81" t="str">
        <x:f>'TESTI'!F31</x:f>
        <x:v>Verona doveva essere una sorpresa romantica. Una stanza d'albergo trasforma invece il gioco in paura, corsa e vergogna.
Davanti all'Arena, una croce verde diventa il confine tra intimità e giudizio. Molto tempo dopo, quando Ella ritorna sotto casa, la catena mostra la sua vera forza: aveva continuato a tirare anche durante l'assenza.
La catena è il settimo capitolo di Legămi.
Scopri il libro dal link nel profilo.
🌐 https://diaridipelle.it/legami.html
🛒 Amazon: https://www.amazon.it/dp/B0GZJR8FSJ
#DiariDiPelle #Legami #LaCatena #Verona #NarrativaContemporanea</x:v>
      </x:c>
      <x:c r="Q211" s="81" t="str">
        <x:f>'TESTI'!J31</x:f>
        <x:v>https://diaridipelle.it/legami.html</x:v>
      </x:c>
      <x:c r="R211" s="81" t="str">
        <x:v>Meta Business Suite</x:v>
      </x:c>
      <x:c r="S211" s="117" t="str">
        <x:v>Programmabile</x:v>
      </x:c>
      <x:c r="T211" s="117" t="str">
        <x:v>Da fare</x:v>
      </x:c>
      <x:c r="U211" s="81" t="str">
        <x:v>Controlla ordine delle immagini e collegamenti nella caption.</x:v>
      </x:c>
      <x:c r="V211" s="81" t="str">
        <x:f>IF(AND(E211&lt;TODAY(),T211&lt;&gt;"Pubblicato"),"SÌ","")</x:f>
      </x:c>
    </x:row>
    <x:row r="212" ht="78" customHeight="1">
      <x:c r="A212" s="117" t="str">
        <x:v>T211</x:v>
      </x:c>
      <x:c r="B212" s="117" t="n">
        <x:v>16</x:v>
      </x:c>
      <x:c r="C212" s="118" t="n">
        <x:f>'CAMPAGNE'!F32</x:f>
        <x:v>46320</x:v>
      </x:c>
      <x:c r="D212" s="119" t="n">
        <x:v>0.75</x:v>
      </x:c>
      <x:c r="E212" s="120" t="n">
        <x:f>'CAMPAGNE'!H32</x:f>
        <x:v>46343</x:v>
      </x:c>
      <x:c r="F212" s="117" t="str">
        <x:f>CHOOSE(WEEKDAY(E212,2),"Lunedì","Martedì","Mercoledì","Giovedì","Venerdì","Sabato","Domenica")</x:f>
        <x:v>Martedì</x:v>
      </x:c>
      <x:c r="G212" s="119" t="n">
        <x:v>0.8333333333333334</x:v>
      </x:c>
      <x:c r="H212" s="117" t="str">
        <x:v>Instagram</x:v>
      </x:c>
      <x:c r="I212" s="117" t="str">
        <x:v>Reel</x:v>
      </x:c>
      <x:c r="J212" s="81" t="str">
        <x:v>Legami</x:v>
      </x:c>
      <x:c r="K212" s="117" t="str">
        <x:v>CH08</x:v>
      </x:c>
      <x:c r="L212" s="81" t="str">
        <x:v>La chiave sbagliata</x:v>
      </x:c>
      <x:c r="M212" s="81" t="str">
        <x:v>Carica il video, imposta la copertina, incolla la caption e programma.</x:v>
      </x:c>
      <x:c r="N212" s="81" t="str">
        <x:v>Legami_Social_Pack/01_REELS/CH08_reel.mp4</x:v>
      </x:c>
      <x:c r="O212" s="81" t="str">
        <x:v>Legami_Social_Pack/02_REEL_COVERS/CH08_cover.jpg</x:v>
      </x:c>
      <x:c r="P212" s="81" t="str">
        <x:f>'TESTI'!E32</x:f>
        <x:v>Ella riceve una chiave di casa, ma Bologna non riesce a diventare davvero casa per lei.
In Puglia arriva Anna, una ragazza che sembra offrire una vita più semplice. Anche quella porta, però, conduce altrove: essere desiderati non significa essere scelti e talvolta si diventa soltanto lo strumento che riporta qualcuno verso un'altra persona.
La chiave sbagliata racconta tre legami persi nello stesso tentativo di trovare un rifugio.
Continua dal link nel profilo.
🛒 Amazon: https://www.amazon.it/dp/B0GZJR8FSJ
#DiariDiPelle #Legami #LaChiaveSbagliata #Puglia #NarrativaPsicologica</x:v>
      </x:c>
      <x:c r="Q212" s="81" t="str">
        <x:f>'TESTI'!J32</x:f>
        <x:v>https://diaridipelle.it/legami.html</x:v>
      </x:c>
      <x:c r="R212" s="81" t="str">
        <x:v>App Instagram</x:v>
      </x:c>
      <x:c r="S212" s="117" t="str">
        <x:v>Programmabile</x:v>
      </x:c>
      <x:c r="T212" s="117" t="str">
        <x:v>Da fare</x:v>
      </x:c>
      <x:c r="U212" s="81" t="str">
        <x:v>Controlla audio, ritaglio 9:16 e anteprima copertina. Il link è nel profilo.</x:v>
      </x:c>
      <x:c r="V212" s="81" t="str">
        <x:f>IF(AND(E212&lt;TODAY(),T212&lt;&gt;"Pubblicato"),"SÌ","")</x:f>
      </x:c>
    </x:row>
    <x:row r="213" ht="78" customHeight="1">
      <x:c r="A213" s="117" t="str">
        <x:v>T212</x:v>
      </x:c>
      <x:c r="B213" s="117" t="n">
        <x:v>16</x:v>
      </x:c>
      <x:c r="C213" s="118" t="n">
        <x:f>'CAMPAGNE'!F32</x:f>
        <x:v>46320</x:v>
      </x:c>
      <x:c r="D213" s="119" t="n">
        <x:v>0.75</x:v>
      </x:c>
      <x:c r="E213" s="120" t="n">
        <x:f>'CAMPAGNE'!H32</x:f>
        <x:v>46343</x:v>
      </x:c>
      <x:c r="F213" s="117" t="str">
        <x:f>CHOOSE(WEEKDAY(E213,2),"Lunedì","Martedì","Mercoledì","Giovedì","Venerdì","Sabato","Domenica")</x:f>
        <x:v>Martedì</x:v>
      </x:c>
      <x:c r="G213" s="119" t="n">
        <x:v>0.8333333333333334</x:v>
      </x:c>
      <x:c r="H213" s="117" t="str">
        <x:v>Facebook</x:v>
      </x:c>
      <x:c r="I213" s="117" t="str">
        <x:v>Reel</x:v>
      </x:c>
      <x:c r="J213" s="81" t="str">
        <x:v>Legami</x:v>
      </x:c>
      <x:c r="K213" s="117" t="str">
        <x:v>CH08</x:v>
      </x:c>
      <x:c r="L213" s="81" t="str">
        <x:v>La chiave sbagliata</x:v>
      </x:c>
      <x:c r="M213" s="81" t="str">
        <x:v>Crea un Reel nella Pagina, carica video e copertina, incolla la caption e programma.</x:v>
      </x:c>
      <x:c r="N213" s="81" t="str">
        <x:v>Legami_Social_Pack/01_REELS/CH08_reel.mp4</x:v>
      </x:c>
      <x:c r="O213" s="81" t="str">
        <x:v>Legami_Social_Pack/02_REEL_COVERS/CH08_cover.jpg</x:v>
      </x:c>
      <x:c r="P213" s="81" t="str">
        <x:f>'TESTI'!F32</x:f>
        <x:v>Ella riceve una chiave di casa, ma Bologna non riesce a diventare davvero casa per lei.
In Puglia arriva Anna, una ragazza che sembra offrire una vita più semplice. Anche quella porta, però, conduce altrove: essere desiderati non significa essere scelti e talvolta si diventa soltanto lo strumento che riporta qualcuno verso un'altra persona.
La chiave sbagliata racconta tre legami persi nello stesso tentativo di trovare un rifugio.
Continua dal link nel profilo.
🌐 https://diaridipelle.it/legami.html
🛒 Amazon: https://www.amazon.it/dp/B0GZJR8FSJ
#DiariDiPelle #Legami #LaChiaveSbagliata #Puglia #NarrativaPsicologica</x:v>
      </x:c>
      <x:c r="Q213" s="81" t="str">
        <x:f>'TESTI'!J32</x:f>
        <x:v>https://diaridipelle.it/legami.html</x:v>
      </x:c>
      <x:c r="R213" s="81" t="str">
        <x:v>Meta Business Suite</x:v>
      </x:c>
      <x:c r="S213" s="117" t="str">
        <x:v>Programmabile</x:v>
      </x:c>
      <x:c r="T213" s="117" t="str">
        <x:v>Da fare</x:v>
      </x:c>
      <x:c r="U213" s="81" t="str">
        <x:v>Pubblica sulla Pagina Facebook. I collegamenti nella caption sono cliccabili.</x:v>
      </x:c>
      <x:c r="V213" s="81" t="str">
        <x:f>IF(AND(E213&lt;TODAY(),T213&lt;&gt;"Pubblicato"),"SÌ","")</x:f>
      </x:c>
    </x:row>
    <x:row r="214" ht="78" customHeight="1">
      <x:c r="A214" s="117" t="str">
        <x:v>T213</x:v>
      </x:c>
      <x:c r="B214" s="117" t="n">
        <x:v>16</x:v>
      </x:c>
      <x:c r="C214" s="118" t="n">
        <x:f>'CAMPAGNE'!G32</x:f>
        <x:v>46341</x:v>
      </x:c>
      <x:c r="D214" s="119" t="n">
        <x:v>0.75</x:v>
      </x:c>
      <x:c r="E214" s="120" t="n">
        <x:f>'CAMPAGNE'!H32</x:f>
        <x:v>46343</x:v>
      </x:c>
      <x:c r="F214" s="117" t="str">
        <x:f>CHOOSE(WEEKDAY(E214,2),"Lunedì","Martedì","Mercoledì","Giovedì","Venerdì","Sabato","Domenica")</x:f>
        <x:v>Martedì</x:v>
      </x:c>
      <x:c r="G214" s="119" t="n">
        <x:v>0.8333333333333334</x:v>
      </x:c>
      <x:c r="H214" s="117" t="str">
        <x:v>TikTok</x:v>
      </x:c>
      <x:c r="I214" s="117" t="str">
        <x:v>Video</x:v>
      </x:c>
      <x:c r="J214" s="81" t="str">
        <x:v>Legami</x:v>
      </x:c>
      <x:c r="K214" s="117" t="str">
        <x:v>CH08</x:v>
      </x:c>
      <x:c r="L214" s="81" t="str">
        <x:v>La chiave sbagliata</x:v>
      </x:c>
      <x:c r="M214" s="81" t="str">
        <x:v>Carica il video in TikTok Studio, scegli la copertina, incolla la caption breve e programma.</x:v>
      </x:c>
      <x:c r="N214" s="81" t="str">
        <x:v>Legami_Social_Pack/01_REELS/CH08_reel.mp4</x:v>
      </x:c>
      <x:c r="O214" s="81" t="str">
        <x:v>Legami_Social_Pack/02_REEL_COVERS/CH08_cover.jpg</x:v>
      </x:c>
      <x:c r="P214" s="81" t="str">
        <x:f>'TESTI'!G32</x:f>
        <x:v>Ella riceve una chiave di casa, ma Bologna non riesce a diventare davvero casa per lei.
«La chiave sbagliata» da Legami.
Scopri il libro dal link in bio.
#DiariDiPelle #Legami #BookTokItalia #LibriTikTok</x:v>
      </x:c>
      <x:c r="Q214" s="81" t="str">
        <x:f>'TESTI'!J32</x:f>
        <x:v>https://diaridipelle.it/legami.html</x:v>
      </x:c>
      <x:c r="R214" s="81" t="str">
        <x:v>TikTok Studio</x:v>
      </x:c>
      <x:c r="S214" s="117" t="str">
        <x:v>Programmabile entro 10 giorni</x:v>
      </x:c>
      <x:c r="T214" s="117" t="str">
        <x:v>Da fare</x:v>
      </x:c>
      <x:c r="U214" s="81" t="str">
        <x:v>Non aggiungere watermark. Controlla anteprima verticale e audio.</x:v>
      </x:c>
      <x:c r="V214" s="81" t="str">
        <x:f>IF(AND(E214&lt;TODAY(),T214&lt;&gt;"Pubblicato"),"SÌ","")</x:f>
      </x:c>
    </x:row>
    <x:row r="215" ht="78" customHeight="1">
      <x:c r="A215" s="117" t="str">
        <x:v>T214</x:v>
      </x:c>
      <x:c r="B215" s="117" t="n">
        <x:v>16</x:v>
      </x:c>
      <x:c r="C215" s="118" t="n">
        <x:f>'CAMPAGNE'!I32</x:f>
        <x:v>46344</x:v>
      </x:c>
      <x:c r="D215" s="119" t="n">
        <x:v>0.4965277777777778</x:v>
      </x:c>
      <x:c r="E215" s="120" t="n">
        <x:f>'CAMPAGNE'!I32</x:f>
        <x:v>46344</x:v>
      </x:c>
      <x:c r="F215" s="117" t="str">
        <x:f>CHOOSE(WEEKDAY(E215,2),"Lunedì","Martedì","Mercoledì","Giovedì","Venerdì","Sabato","Domenica")</x:f>
        <x:v>Mercoledì</x:v>
      </x:c>
      <x:c r="G215" s="119" t="n">
        <x:v>0.5</x:v>
      </x:c>
      <x:c r="H215" s="117" t="str">
        <x:v>Instagram</x:v>
      </x:c>
      <x:c r="I215" s="117" t="str">
        <x:v>Storia</x:v>
      </x:c>
      <x:c r="J215" s="81" t="str">
        <x:v>Legami</x:v>
      </x:c>
      <x:c r="K215" s="117" t="str">
        <x:v>CH08</x:v>
      </x:c>
      <x:c r="L215" s="81" t="str">
        <x:v>La chiave sbagliata</x:v>
      </x:c>
      <x:c r="M215" s="81" t="str">
        <x:v>Carica l'immagine, aggiungi l'adesivo Link e pubblica.</x:v>
      </x:c>
      <x:c r="N215" s="81" t="str">
        <x:v>Legami_Social_Pack/04_STORIES/CH08_story.jpg</x:v>
      </x:c>
      <x:c r="O215" s="81" t="str">
        <x:v>Legami_Social_Pack/05_CAPTIONS/CH08_story_link.txt</x:v>
      </x:c>
      <x:c r="P215" s="81" t="str">
        <x:f>'TESTI'!N32</x:f>
        <x:v>Tocca SCOPRI IL LIBRO e scegli cartaceo o Kindle.</x:v>
      </x:c>
      <x:c r="Q215" s="81" t="str">
        <x:f>'TESTI'!H32</x:f>
        <x:v>https://diaridipelle.it/legami.html?utm_source=instagram&amp;utm_medium=story&amp;utm_campaign=legami&amp;utm_content=ch08</x:v>
      </x:c>
      <x:c r="R215" s="81" t="str">
        <x:v>App Instagram</x:v>
      </x:c>
      <x:c r="S215" s="117" t="str">
        <x:v>Manuale</x:v>
      </x:c>
      <x:c r="T215" s="117" t="str">
        <x:v>Da fare</x:v>
      </x:c>
      <x:c r="U215" s="81" t="str">
        <x:v>La data lavoro è lo stesso giorno, 5 minuti prima. Testo adesivo: SCOPRI IL LIBRO.</x:v>
      </x:c>
      <x:c r="V215" s="81" t="str">
        <x:f>IF(AND(E215&lt;TODAY(),T215&lt;&gt;"Pubblicato"),"SÌ","")</x:f>
      </x:c>
    </x:row>
    <x:row r="216" ht="78" customHeight="1">
      <x:c r="A216" s="117" t="str">
        <x:v>T215</x:v>
      </x:c>
      <x:c r="B216" s="117" t="n">
        <x:v>16</x:v>
      </x:c>
      <x:c r="C216" s="118" t="n">
        <x:f>'CAMPAGNE'!F32</x:f>
        <x:v>46320</x:v>
      </x:c>
      <x:c r="D216" s="119" t="n">
        <x:v>0.75</x:v>
      </x:c>
      <x:c r="E216" s="120" t="n">
        <x:f>'CAMPAGNE'!I32</x:f>
        <x:v>46344</x:v>
      </x:c>
      <x:c r="F216" s="117" t="str">
        <x:f>CHOOSE(WEEKDAY(E216,2),"Lunedì","Martedì","Mercoledì","Giovedì","Venerdì","Sabato","Domenica")</x:f>
        <x:v>Mercoledì</x:v>
      </x:c>
      <x:c r="G216" s="119" t="n">
        <x:v>0.5</x:v>
      </x:c>
      <x:c r="H216" s="117" t="str">
        <x:v>Facebook</x:v>
      </x:c>
      <x:c r="I216" s="117" t="str">
        <x:v>Storia</x:v>
      </x:c>
      <x:c r="J216" s="81" t="str">
        <x:v>Legami</x:v>
      </x:c>
      <x:c r="K216" s="117" t="str">
        <x:v>CH08</x:v>
      </x:c>
      <x:c r="L216" s="81" t="str">
        <x:v>La chiave sbagliata</x:v>
      </x:c>
      <x:c r="M216" s="81" t="str">
        <x:v>Crea una Storia della Pagina, carica l'immagine, aggiungi il link e programma.</x:v>
      </x:c>
      <x:c r="N216" s="81" t="str">
        <x:v>Legami_Social_Pack/04_STORIES/CH08_story.jpg</x:v>
      </x:c>
      <x:c r="O216" s="81" t="str">
        <x:v>Legami_Social_Pack/05_CAPTIONS/CH08_story_link.txt</x:v>
      </x:c>
      <x:c r="P216" s="81" t="str">
        <x:f>'TESTI'!N32</x:f>
        <x:v>Tocca SCOPRI IL LIBRO e scegli cartaceo o Kindle.</x:v>
      </x:c>
      <x:c r="Q216" s="81" t="str">
        <x:f>'TESTI'!I32</x:f>
        <x:v>https://diaridipelle.it/legami.html?utm_source=facebook&amp;utm_medium=story&amp;utm_campaign=legami&amp;utm_content=ch08</x:v>
      </x:c>
      <x:c r="R216" s="81" t="str">
        <x:v>Meta Business Suite</x:v>
      </x:c>
      <x:c r="S216" s="117" t="str">
        <x:v>Programmabile</x:v>
      </x:c>
      <x:c r="T216" s="117" t="str">
        <x:v>Da fare</x:v>
      </x:c>
      <x:c r="U216" s="81" t="str">
        <x:v>Controlla che la destinazione sia la Pagina Facebook.</x:v>
      </x:c>
      <x:c r="V216" s="81" t="str">
        <x:f>IF(AND(E216&lt;TODAY(),T216&lt;&gt;"Pubblicato"),"SÌ","")</x:f>
      </x:c>
    </x:row>
    <x:row r="217" ht="78" customHeight="1">
      <x:c r="A217" s="117" t="str">
        <x:v>T216</x:v>
      </x:c>
      <x:c r="B217" s="117" t="n">
        <x:v>16</x:v>
      </x:c>
      <x:c r="C217" s="118" t="n">
        <x:f>'CAMPAGNE'!F32</x:f>
        <x:v>46320</x:v>
      </x:c>
      <x:c r="D217" s="119" t="n">
        <x:v>0.75</x:v>
      </x:c>
      <x:c r="E217" s="120" t="n">
        <x:f>'CAMPAGNE'!J32</x:f>
        <x:v>46345</x:v>
      </x:c>
      <x:c r="F217" s="117" t="str">
        <x:f>CHOOSE(WEEKDAY(E217,2),"Lunedì","Martedì","Mercoledì","Giovedì","Venerdì","Sabato","Domenica")</x:f>
        <x:v>Giovedì</x:v>
      </x:c>
      <x:c r="G217" s="119" t="n">
        <x:v>0.8333333333333334</x:v>
      </x:c>
      <x:c r="H217" s="117" t="str">
        <x:v>Instagram</x:v>
      </x:c>
      <x:c r="I217" s="117" t="str">
        <x:v>Carosello</x:v>
      </x:c>
      <x:c r="J217" s="81" t="str">
        <x:v>Legami</x:v>
      </x:c>
      <x:c r="K217" s="117" t="str">
        <x:v>CH08</x:v>
      </x:c>
      <x:c r="L217" s="81" t="str">
        <x:v>La chiave sbagliata</x:v>
      </x:c>
      <x:c r="M217" s="81" t="str">
        <x:v>Carica le tre immagini nell'ordine 01, 02, 03; incolla la caption e programma.</x:v>
      </x:c>
      <x:c r="N217" s="81" t="str">
        <x:v>Legami_Social_Pack/03_CAROUSELS/CH08/CH08_01.jpg
Legami_Social_Pack/03_CAROUSELS/CH08/CH08_02.jpg
Legami_Social_Pack/03_CAROUSELS/CH08/CH08_03.jpg</x:v>
      </x:c>
      <x:c r="O217" s="81" t="str">
        <x:v>Ordine obbligatorio: 01 → 02 → 03</x:v>
      </x:c>
      <x:c r="P217" s="81" t="str">
        <x:f>'TESTI'!E32</x:f>
        <x:v>Ella riceve una chiave di casa, ma Bologna non riesce a diventare davvero casa per lei.
In Puglia arriva Anna, una ragazza che sembra offrire una vita più semplice. Anche quella porta, però, conduce altrove: essere desiderati non significa essere scelti e talvolta si diventa soltanto lo strumento che riporta qualcuno verso un'altra persona.
La chiave sbagliata racconta tre legami persi nello stesso tentativo di trovare un rifugio.
Continua dal link nel profilo.
🛒 Amazon: https://www.amazon.it/dp/B0GZJR8FSJ
#DiariDiPelle #Legami #LaChiaveSbagliata #Puglia #NarrativaPsicologica</x:v>
      </x:c>
      <x:c r="Q217" s="81" t="str">
        <x:f>'TESTI'!J32</x:f>
        <x:v>https://diaridipelle.it/legami.html</x:v>
      </x:c>
      <x:c r="R217" s="81" t="str">
        <x:v>App Instagram</x:v>
      </x:c>
      <x:c r="S217" s="117" t="str">
        <x:v>Programmabile</x:v>
      </x:c>
      <x:c r="T217" s="117" t="str">
        <x:v>Da fare</x:v>
      </x:c>
      <x:c r="U217" s="81" t="str">
        <x:v>Verifica che nessuna slide sia tagliata. Il link è nel profilo.</x:v>
      </x:c>
      <x:c r="V217" s="81" t="str">
        <x:f>IF(AND(E217&lt;TODAY(),T217&lt;&gt;"Pubblicato"),"SÌ","")</x:f>
      </x:c>
    </x:row>
    <x:row r="218" ht="78" customHeight="1">
      <x:c r="A218" s="117" t="str">
        <x:v>T217</x:v>
      </x:c>
      <x:c r="B218" s="117" t="n">
        <x:v>16</x:v>
      </x:c>
      <x:c r="C218" s="118" t="n">
        <x:f>'CAMPAGNE'!F32</x:f>
        <x:v>46320</x:v>
      </x:c>
      <x:c r="D218" s="119" t="n">
        <x:v>0.75</x:v>
      </x:c>
      <x:c r="E218" s="120" t="n">
        <x:f>'CAMPAGNE'!J32</x:f>
        <x:v>46345</x:v>
      </x:c>
      <x:c r="F218" s="117" t="str">
        <x:f>CHOOSE(WEEKDAY(E218,2),"Lunedì","Martedì","Mercoledì","Giovedì","Venerdì","Sabato","Domenica")</x:f>
        <x:v>Giovedì</x:v>
      </x:c>
      <x:c r="G218" s="119" t="n">
        <x:v>0.8333333333333334</x:v>
      </x:c>
      <x:c r="H218" s="117" t="str">
        <x:v>Facebook</x:v>
      </x:c>
      <x:c r="I218" s="117" t="str">
        <x:v>Carosello</x:v>
      </x:c>
      <x:c r="J218" s="81" t="str">
        <x:v>Legami</x:v>
      </x:c>
      <x:c r="K218" s="117" t="str">
        <x:v>CH08</x:v>
      </x:c>
      <x:c r="L218" s="81" t="str">
        <x:v>La chiave sbagliata</x:v>
      </x:c>
      <x:c r="M218" s="81" t="str">
        <x:v>Carica le tre immagini nell'ordine 01, 02, 03; incolla la caption e programma.</x:v>
      </x:c>
      <x:c r="N218" s="81" t="str">
        <x:v>Legami_Social_Pack/03_CAROUSELS/CH08/CH08_01.jpg
Legami_Social_Pack/03_CAROUSELS/CH08/CH08_02.jpg
Legami_Social_Pack/03_CAROUSELS/CH08/CH08_03.jpg</x:v>
      </x:c>
      <x:c r="O218" s="81" t="str">
        <x:v>Ordine obbligatorio: 01 → 02 → 03</x:v>
      </x:c>
      <x:c r="P218" s="81" t="str">
        <x:f>'TESTI'!F32</x:f>
        <x:v>Ella riceve una chiave di casa, ma Bologna non riesce a diventare davvero casa per lei.
In Puglia arriva Anna, una ragazza che sembra offrire una vita più semplice. Anche quella porta, però, conduce altrove: essere desiderati non significa essere scelti e talvolta si diventa soltanto lo strumento che riporta qualcuno verso un'altra persona.
La chiave sbagliata racconta tre legami persi nello stesso tentativo di trovare un rifugio.
Continua dal link nel profilo.
🌐 https://diaridipelle.it/legami.html
🛒 Amazon: https://www.amazon.it/dp/B0GZJR8FSJ
#DiariDiPelle #Legami #LaChiaveSbagliata #Puglia #NarrativaPsicologica</x:v>
      </x:c>
      <x:c r="Q218" s="81" t="str">
        <x:f>'TESTI'!J32</x:f>
        <x:v>https://diaridipelle.it/legami.html</x:v>
      </x:c>
      <x:c r="R218" s="81" t="str">
        <x:v>Meta Business Suite</x:v>
      </x:c>
      <x:c r="S218" s="117" t="str">
        <x:v>Programmabile</x:v>
      </x:c>
      <x:c r="T218" s="117" t="str">
        <x:v>Da fare</x:v>
      </x:c>
      <x:c r="U218" s="81" t="str">
        <x:v>Controlla ordine delle immagini e collegamenti nella caption.</x:v>
      </x:c>
      <x:c r="V218" s="81" t="str">
        <x:f>IF(AND(E218&lt;TODAY(),T218&lt;&gt;"Pubblicato"),"SÌ","")</x:f>
      </x:c>
    </x:row>
    <x:row r="219" ht="78" customHeight="1">
      <x:c r="A219" s="117" t="str">
        <x:v>T218</x:v>
      </x:c>
      <x:c r="B219" s="117" t="n">
        <x:v>16</x:v>
      </x:c>
      <x:c r="C219" s="118" t="n">
        <x:f>'CAMPAGNE'!F33</x:f>
        <x:v>46320</x:v>
      </x:c>
      <x:c r="D219" s="119" t="n">
        <x:v>0.75</x:v>
      </x:c>
      <x:c r="E219" s="120" t="n">
        <x:f>'CAMPAGNE'!H33</x:f>
        <x:v>46346</x:v>
      </x:c>
      <x:c r="F219" s="117" t="str">
        <x:f>CHOOSE(WEEKDAY(E219,2),"Lunedì","Martedì","Mercoledì","Giovedì","Venerdì","Sabato","Domenica")</x:f>
        <x:v>Venerdì</x:v>
      </x:c>
      <x:c r="G219" s="119" t="n">
        <x:v>0.8333333333333334</x:v>
      </x:c>
      <x:c r="H219" s="117" t="str">
        <x:v>Instagram</x:v>
      </x:c>
      <x:c r="I219" s="117" t="str">
        <x:v>Reel</x:v>
      </x:c>
      <x:c r="J219" s="81" t="str">
        <x:v>Legami</x:v>
      </x:c>
      <x:c r="K219" s="117" t="str">
        <x:v>CH09</x:v>
      </x:c>
      <x:c r="L219" s="81" t="str">
        <x:v>Safe Word</x:v>
      </x:c>
      <x:c r="M219" s="81" t="str">
        <x:v>Carica il video, imposta la copertina, incolla la caption e programma.</x:v>
      </x:c>
      <x:c r="N219" s="81" t="str">
        <x:v>Legami_Social_Pack/01_REELS/CH09_reel.mp4</x:v>
      </x:c>
      <x:c r="O219" s="81" t="str">
        <x:v>Legami_Social_Pack/02_REEL_COVERS/CH09_cover.jpg</x:v>
      </x:c>
      <x:c r="P219" s="81" t="str">
        <x:f>'TESTI'!E33</x:f>
        <x:v>A Bologna, Ella e il narratore trasformano i conflitti in una grammatica privata fatta di regole, confini e una parola di sicurezza.
Poi arriva Francoforte, Capodanno e una telefonata della madre. La parola che può interrompere il gioco non può fermare la malattia, il ritorno urgente e l'inizio del buio.
Safe Word è il punto in cui Legămi cambia definitivamente temperatura.
Scopri il libro dal link nel profilo.
🛒 Amazon: https://www.amazon.it/dp/B0GZJR8FSJ
#DiariDiPelle #Legami #SafeWord #Francoforte #RomanziItaliani</x:v>
      </x:c>
      <x:c r="Q219" s="81" t="str">
        <x:f>'TESTI'!J33</x:f>
        <x:v>https://diaridipelle.it/legami.html</x:v>
      </x:c>
      <x:c r="R219" s="81" t="str">
        <x:v>App Instagram</x:v>
      </x:c>
      <x:c r="S219" s="117" t="str">
        <x:v>Programmabile</x:v>
      </x:c>
      <x:c r="T219" s="117" t="str">
        <x:v>Da fare</x:v>
      </x:c>
      <x:c r="U219" s="81" t="str">
        <x:v>Controlla audio, ritaglio 9:16 e anteprima copertina. Il link è nel profilo.</x:v>
      </x:c>
      <x:c r="V219" s="81" t="str">
        <x:f>IF(AND(E219&lt;TODAY(),T219&lt;&gt;"Pubblicato"),"SÌ","")</x:f>
      </x:c>
    </x:row>
    <x:row r="220" ht="78" customHeight="1">
      <x:c r="A220" s="117" t="str">
        <x:v>T219</x:v>
      </x:c>
      <x:c r="B220" s="117" t="n">
        <x:v>16</x:v>
      </x:c>
      <x:c r="C220" s="118" t="n">
        <x:f>'CAMPAGNE'!F33</x:f>
        <x:v>46320</x:v>
      </x:c>
      <x:c r="D220" s="119" t="n">
        <x:v>0.75</x:v>
      </x:c>
      <x:c r="E220" s="120" t="n">
        <x:f>'CAMPAGNE'!H33</x:f>
        <x:v>46346</x:v>
      </x:c>
      <x:c r="F220" s="117" t="str">
        <x:f>CHOOSE(WEEKDAY(E220,2),"Lunedì","Martedì","Mercoledì","Giovedì","Venerdì","Sabato","Domenica")</x:f>
        <x:v>Venerdì</x:v>
      </x:c>
      <x:c r="G220" s="119" t="n">
        <x:v>0.8333333333333334</x:v>
      </x:c>
      <x:c r="H220" s="117" t="str">
        <x:v>Facebook</x:v>
      </x:c>
      <x:c r="I220" s="117" t="str">
        <x:v>Reel</x:v>
      </x:c>
      <x:c r="J220" s="81" t="str">
        <x:v>Legami</x:v>
      </x:c>
      <x:c r="K220" s="117" t="str">
        <x:v>CH09</x:v>
      </x:c>
      <x:c r="L220" s="81" t="str">
        <x:v>Safe Word</x:v>
      </x:c>
      <x:c r="M220" s="81" t="str">
        <x:v>Crea un Reel nella Pagina, carica video e copertina, incolla la caption e programma.</x:v>
      </x:c>
      <x:c r="N220" s="81" t="str">
        <x:v>Legami_Social_Pack/01_REELS/CH09_reel.mp4</x:v>
      </x:c>
      <x:c r="O220" s="81" t="str">
        <x:v>Legami_Social_Pack/02_REEL_COVERS/CH09_cover.jpg</x:v>
      </x:c>
      <x:c r="P220" s="81" t="str">
        <x:f>'TESTI'!F33</x:f>
        <x:v>A Bologna, Ella e il narratore trasformano i conflitti in una grammatica privata fatta di regole, confini e una parola di sicurezza.
Poi arriva Francoforte, Capodanno e una telefonata della madre. La parola che può interrompere il gioco non può fermare la malattia, il ritorno urgente e l'inizio del buio.
Safe Word è il punto in cui Legămi cambia definitivamente temperatura.
Scopri il libro dal link nel profilo.
🌐 https://diaridipelle.it/legami.html
🛒 Amazon: https://www.amazon.it/dp/B0GZJR8FSJ
#DiariDiPelle #Legami #SafeWord #Francoforte #RomanziItaliani</x:v>
      </x:c>
      <x:c r="Q220" s="81" t="str">
        <x:f>'TESTI'!J33</x:f>
        <x:v>https://diaridipelle.it/legami.html</x:v>
      </x:c>
      <x:c r="R220" s="81" t="str">
        <x:v>Meta Business Suite</x:v>
      </x:c>
      <x:c r="S220" s="117" t="str">
        <x:v>Programmabile</x:v>
      </x:c>
      <x:c r="T220" s="117" t="str">
        <x:v>Da fare</x:v>
      </x:c>
      <x:c r="U220" s="81" t="str">
        <x:v>Pubblica sulla Pagina Facebook. I collegamenti nella caption sono cliccabili.</x:v>
      </x:c>
      <x:c r="V220" s="81" t="str">
        <x:f>IF(AND(E220&lt;TODAY(),T220&lt;&gt;"Pubblicato"),"SÌ","")</x:f>
      </x:c>
    </x:row>
    <x:row r="221" ht="78" customHeight="1">
      <x:c r="A221" s="117" t="str">
        <x:v>T220</x:v>
      </x:c>
      <x:c r="B221" s="117" t="n">
        <x:v>16</x:v>
      </x:c>
      <x:c r="C221" s="118" t="n">
        <x:f>'CAMPAGNE'!G33</x:f>
        <x:v>46341</x:v>
      </x:c>
      <x:c r="D221" s="119" t="n">
        <x:v>0.75</x:v>
      </x:c>
      <x:c r="E221" s="120" t="n">
        <x:f>'CAMPAGNE'!H33</x:f>
        <x:v>46346</x:v>
      </x:c>
      <x:c r="F221" s="117" t="str">
        <x:f>CHOOSE(WEEKDAY(E221,2),"Lunedì","Martedì","Mercoledì","Giovedì","Venerdì","Sabato","Domenica")</x:f>
        <x:v>Venerdì</x:v>
      </x:c>
      <x:c r="G221" s="119" t="n">
        <x:v>0.8333333333333334</x:v>
      </x:c>
      <x:c r="H221" s="117" t="str">
        <x:v>TikTok</x:v>
      </x:c>
      <x:c r="I221" s="117" t="str">
        <x:v>Video</x:v>
      </x:c>
      <x:c r="J221" s="81" t="str">
        <x:v>Legami</x:v>
      </x:c>
      <x:c r="K221" s="117" t="str">
        <x:v>CH09</x:v>
      </x:c>
      <x:c r="L221" s="81" t="str">
        <x:v>Safe Word</x:v>
      </x:c>
      <x:c r="M221" s="81" t="str">
        <x:v>Carica il video in TikTok Studio, scegli la copertina, incolla la caption breve e programma.</x:v>
      </x:c>
      <x:c r="N221" s="81" t="str">
        <x:v>Legami_Social_Pack/01_REELS/CH09_reel.mp4</x:v>
      </x:c>
      <x:c r="O221" s="81" t="str">
        <x:v>Legami_Social_Pack/02_REEL_COVERS/CH09_cover.jpg</x:v>
      </x:c>
      <x:c r="P221" s="81" t="str">
        <x:f>'TESTI'!G33</x:f>
        <x:v>A Bologna, Ella e il narratore trasformano i conflitti in una grammatica privata fatta di regole, confini e una parola di sicurezza.
«Safe Word» da Legami.
Scopri il libro dal link in bio.
#DiariDiPelle #Legami #BookTokItalia #LibriTikTok</x:v>
      </x:c>
      <x:c r="Q221" s="81" t="str">
        <x:f>'TESTI'!J33</x:f>
        <x:v>https://diaridipelle.it/legami.html</x:v>
      </x:c>
      <x:c r="R221" s="81" t="str">
        <x:v>TikTok Studio</x:v>
      </x:c>
      <x:c r="S221" s="117" t="str">
        <x:v>Programmabile entro 10 giorni</x:v>
      </x:c>
      <x:c r="T221" s="117" t="str">
        <x:v>Da fare</x:v>
      </x:c>
      <x:c r="U221" s="81" t="str">
        <x:v>Non aggiungere watermark. Controlla anteprima verticale e audio.</x:v>
      </x:c>
      <x:c r="V221" s="81" t="str">
        <x:f>IF(AND(E221&lt;TODAY(),T221&lt;&gt;"Pubblicato"),"SÌ","")</x:f>
      </x:c>
    </x:row>
    <x:row r="222" ht="78" customHeight="1">
      <x:c r="A222" s="117" t="str">
        <x:v>T221</x:v>
      </x:c>
      <x:c r="B222" s="117" t="n">
        <x:v>16</x:v>
      </x:c>
      <x:c r="C222" s="118" t="n">
        <x:f>'CAMPAGNE'!I33</x:f>
        <x:v>46347</x:v>
      </x:c>
      <x:c r="D222" s="119" t="n">
        <x:v>0.4965277777777778</x:v>
      </x:c>
      <x:c r="E222" s="120" t="n">
        <x:f>'CAMPAGNE'!I33</x:f>
        <x:v>46347</x:v>
      </x:c>
      <x:c r="F222" s="117" t="str">
        <x:f>CHOOSE(WEEKDAY(E222,2),"Lunedì","Martedì","Mercoledì","Giovedì","Venerdì","Sabato","Domenica")</x:f>
        <x:v>Sabato</x:v>
      </x:c>
      <x:c r="G222" s="119" t="n">
        <x:v>0.5</x:v>
      </x:c>
      <x:c r="H222" s="117" t="str">
        <x:v>Instagram</x:v>
      </x:c>
      <x:c r="I222" s="117" t="str">
        <x:v>Storia</x:v>
      </x:c>
      <x:c r="J222" s="81" t="str">
        <x:v>Legami</x:v>
      </x:c>
      <x:c r="K222" s="117" t="str">
        <x:v>CH09</x:v>
      </x:c>
      <x:c r="L222" s="81" t="str">
        <x:v>Safe Word</x:v>
      </x:c>
      <x:c r="M222" s="81" t="str">
        <x:v>Carica l'immagine, aggiungi l'adesivo Link e pubblica.</x:v>
      </x:c>
      <x:c r="N222" s="81" t="str">
        <x:v>Legami_Social_Pack/04_STORIES/CH09_story.jpg</x:v>
      </x:c>
      <x:c r="O222" s="81" t="str">
        <x:v>Legami_Social_Pack/05_CAPTIONS/CH09_story_link.txt</x:v>
      </x:c>
      <x:c r="P222" s="81" t="str">
        <x:f>'TESTI'!N33</x:f>
        <x:v>Tocca SCOPRI IL LIBRO e scegli cartaceo o Kindle.</x:v>
      </x:c>
      <x:c r="Q222" s="81" t="str">
        <x:f>'TESTI'!H33</x:f>
        <x:v>https://diaridipelle.it/legami.html?utm_source=instagram&amp;utm_medium=story&amp;utm_campaign=legami&amp;utm_content=ch09</x:v>
      </x:c>
      <x:c r="R222" s="81" t="str">
        <x:v>App Instagram</x:v>
      </x:c>
      <x:c r="S222" s="117" t="str">
        <x:v>Manuale</x:v>
      </x:c>
      <x:c r="T222" s="117" t="str">
        <x:v>Da fare</x:v>
      </x:c>
      <x:c r="U222" s="81" t="str">
        <x:v>La data lavoro è lo stesso giorno, 5 minuti prima. Testo adesivo: SCOPRI IL LIBRO.</x:v>
      </x:c>
      <x:c r="V222" s="81" t="str">
        <x:f>IF(AND(E222&lt;TODAY(),T222&lt;&gt;"Pubblicato"),"SÌ","")</x:f>
      </x:c>
    </x:row>
    <x:row r="223" ht="78" customHeight="1">
      <x:c r="A223" s="117" t="str">
        <x:v>T222</x:v>
      </x:c>
      <x:c r="B223" s="117" t="n">
        <x:v>16</x:v>
      </x:c>
      <x:c r="C223" s="118" t="n">
        <x:f>'CAMPAGNE'!F33</x:f>
        <x:v>46320</x:v>
      </x:c>
      <x:c r="D223" s="119" t="n">
        <x:v>0.75</x:v>
      </x:c>
      <x:c r="E223" s="120" t="n">
        <x:f>'CAMPAGNE'!I33</x:f>
        <x:v>46347</x:v>
      </x:c>
      <x:c r="F223" s="117" t="str">
        <x:f>CHOOSE(WEEKDAY(E223,2),"Lunedì","Martedì","Mercoledì","Giovedì","Venerdì","Sabato","Domenica")</x:f>
        <x:v>Sabato</x:v>
      </x:c>
      <x:c r="G223" s="119" t="n">
        <x:v>0.5</x:v>
      </x:c>
      <x:c r="H223" s="117" t="str">
        <x:v>Facebook</x:v>
      </x:c>
      <x:c r="I223" s="117" t="str">
        <x:v>Storia</x:v>
      </x:c>
      <x:c r="J223" s="81" t="str">
        <x:v>Legami</x:v>
      </x:c>
      <x:c r="K223" s="117" t="str">
        <x:v>CH09</x:v>
      </x:c>
      <x:c r="L223" s="81" t="str">
        <x:v>Safe Word</x:v>
      </x:c>
      <x:c r="M223" s="81" t="str">
        <x:v>Crea una Storia della Pagina, carica l'immagine, aggiungi il link e programma.</x:v>
      </x:c>
      <x:c r="N223" s="81" t="str">
        <x:v>Legami_Social_Pack/04_STORIES/CH09_story.jpg</x:v>
      </x:c>
      <x:c r="O223" s="81" t="str">
        <x:v>Legami_Social_Pack/05_CAPTIONS/CH09_story_link.txt</x:v>
      </x:c>
      <x:c r="P223" s="81" t="str">
        <x:f>'TESTI'!N33</x:f>
        <x:v>Tocca SCOPRI IL LIBRO e scegli cartaceo o Kindle.</x:v>
      </x:c>
      <x:c r="Q223" s="81" t="str">
        <x:f>'TESTI'!I33</x:f>
        <x:v>https://diaridipelle.it/legami.html?utm_source=facebook&amp;utm_medium=story&amp;utm_campaign=legami&amp;utm_content=ch09</x:v>
      </x:c>
      <x:c r="R223" s="81" t="str">
        <x:v>Meta Business Suite</x:v>
      </x:c>
      <x:c r="S223" s="117" t="str">
        <x:v>Programmabile</x:v>
      </x:c>
      <x:c r="T223" s="117" t="str">
        <x:v>Da fare</x:v>
      </x:c>
      <x:c r="U223" s="81" t="str">
        <x:v>Controlla che la destinazione sia la Pagina Facebook.</x:v>
      </x:c>
      <x:c r="V223" s="81" t="str">
        <x:f>IF(AND(E223&lt;TODAY(),T223&lt;&gt;"Pubblicato"),"SÌ","")</x:f>
      </x:c>
    </x:row>
    <x:row r="224" ht="78" customHeight="1">
      <x:c r="A224" s="117" t="str">
        <x:v>T223</x:v>
      </x:c>
      <x:c r="B224" s="117" t="n">
        <x:v>16</x:v>
      </x:c>
      <x:c r="C224" s="118" t="n">
        <x:f>'CAMPAGNE'!F33</x:f>
        <x:v>46320</x:v>
      </x:c>
      <x:c r="D224" s="119" t="n">
        <x:v>0.75</x:v>
      </x:c>
      <x:c r="E224" s="120" t="n">
        <x:f>'CAMPAGNE'!J33</x:f>
        <x:v>46348</x:v>
      </x:c>
      <x:c r="F224" s="117" t="str">
        <x:f>CHOOSE(WEEKDAY(E224,2),"Lunedì","Martedì","Mercoledì","Giovedì","Venerdì","Sabato","Domenica")</x:f>
        <x:v>Domenica</x:v>
      </x:c>
      <x:c r="G224" s="119" t="n">
        <x:v>0.4583333333333333</x:v>
      </x:c>
      <x:c r="H224" s="117" t="str">
        <x:v>Instagram</x:v>
      </x:c>
      <x:c r="I224" s="117" t="str">
        <x:v>Carosello</x:v>
      </x:c>
      <x:c r="J224" s="81" t="str">
        <x:v>Legami</x:v>
      </x:c>
      <x:c r="K224" s="117" t="str">
        <x:v>CH09</x:v>
      </x:c>
      <x:c r="L224" s="81" t="str">
        <x:v>Safe Word</x:v>
      </x:c>
      <x:c r="M224" s="81" t="str">
        <x:v>Carica le tre immagini nell'ordine 01, 02, 03; incolla la caption e programma.</x:v>
      </x:c>
      <x:c r="N224" s="81" t="str">
        <x:v>Legami_Social_Pack/03_CAROUSELS/CH09/CH09_01.jpg
Legami_Social_Pack/03_CAROUSELS/CH09/CH09_02.jpg
Legami_Social_Pack/03_CAROUSELS/CH09/CH09_03.jpg</x:v>
      </x:c>
      <x:c r="O224" s="81" t="str">
        <x:v>Ordine obbligatorio: 01 → 02 → 03</x:v>
      </x:c>
      <x:c r="P224" s="81" t="str">
        <x:f>'TESTI'!E33</x:f>
        <x:v>A Bologna, Ella e il narratore trasformano i conflitti in una grammatica privata fatta di regole, confini e una parola di sicurezza.
Poi arriva Francoforte, Capodanno e una telefonata della madre. La parola che può interrompere il gioco non può fermare la malattia, il ritorno urgente e l'inizio del buio.
Safe Word è il punto in cui Legămi cambia definitivamente temperatura.
Scopri il libro dal link nel profilo.
🛒 Amazon: https://www.amazon.it/dp/B0GZJR8FSJ
#DiariDiPelle #Legami #SafeWord #Francoforte #RomanziItaliani</x:v>
      </x:c>
      <x:c r="Q224" s="81" t="str">
        <x:f>'TESTI'!J33</x:f>
        <x:v>https://diaridipelle.it/legami.html</x:v>
      </x:c>
      <x:c r="R224" s="81" t="str">
        <x:v>App Instagram</x:v>
      </x:c>
      <x:c r="S224" s="117" t="str">
        <x:v>Programmabile</x:v>
      </x:c>
      <x:c r="T224" s="117" t="str">
        <x:v>Da fare</x:v>
      </x:c>
      <x:c r="U224" s="81" t="str">
        <x:v>Verifica che nessuna slide sia tagliata. Il link è nel profilo.</x:v>
      </x:c>
      <x:c r="V224" s="81" t="str">
        <x:f>IF(AND(E224&lt;TODAY(),T224&lt;&gt;"Pubblicato"),"SÌ","")</x:f>
      </x:c>
    </x:row>
    <x:row r="225" ht="78" customHeight="1">
      <x:c r="A225" s="117" t="str">
        <x:v>T224</x:v>
      </x:c>
      <x:c r="B225" s="117" t="n">
        <x:v>16</x:v>
      </x:c>
      <x:c r="C225" s="118" t="n">
        <x:f>'CAMPAGNE'!F33</x:f>
        <x:v>46320</x:v>
      </x:c>
      <x:c r="D225" s="119" t="n">
        <x:v>0.75</x:v>
      </x:c>
      <x:c r="E225" s="120" t="n">
        <x:f>'CAMPAGNE'!J33</x:f>
        <x:v>46348</x:v>
      </x:c>
      <x:c r="F225" s="117" t="str">
        <x:f>CHOOSE(WEEKDAY(E225,2),"Lunedì","Martedì","Mercoledì","Giovedì","Venerdì","Sabato","Domenica")</x:f>
        <x:v>Domenica</x:v>
      </x:c>
      <x:c r="G225" s="119" t="n">
        <x:v>0.4583333333333333</x:v>
      </x:c>
      <x:c r="H225" s="117" t="str">
        <x:v>Facebook</x:v>
      </x:c>
      <x:c r="I225" s="117" t="str">
        <x:v>Carosello</x:v>
      </x:c>
      <x:c r="J225" s="81" t="str">
        <x:v>Legami</x:v>
      </x:c>
      <x:c r="K225" s="117" t="str">
        <x:v>CH09</x:v>
      </x:c>
      <x:c r="L225" s="81" t="str">
        <x:v>Safe Word</x:v>
      </x:c>
      <x:c r="M225" s="81" t="str">
        <x:v>Carica le tre immagini nell'ordine 01, 02, 03; incolla la caption e programma.</x:v>
      </x:c>
      <x:c r="N225" s="81" t="str">
        <x:v>Legami_Social_Pack/03_CAROUSELS/CH09/CH09_01.jpg
Legami_Social_Pack/03_CAROUSELS/CH09/CH09_02.jpg
Legami_Social_Pack/03_CAROUSELS/CH09/CH09_03.jpg</x:v>
      </x:c>
      <x:c r="O225" s="81" t="str">
        <x:v>Ordine obbligatorio: 01 → 02 → 03</x:v>
      </x:c>
      <x:c r="P225" s="81" t="str">
        <x:f>'TESTI'!F33</x:f>
        <x:v>A Bologna, Ella e il narratore trasformano i conflitti in una grammatica privata fatta di regole, confini e una parola di sicurezza.
Poi arriva Francoforte, Capodanno e una telefonata della madre. La parola che può interrompere il gioco non può fermare la malattia, il ritorno urgente e l'inizio del buio.
Safe Word è il punto in cui Legămi cambia definitivamente temperatura.
Scopri il libro dal link nel profilo.
🌐 https://diaridipelle.it/legami.html
🛒 Amazon: https://www.amazon.it/dp/B0GZJR8FSJ
#DiariDiPelle #Legami #SafeWord #Francoforte #RomanziItaliani</x:v>
      </x:c>
      <x:c r="Q225" s="81" t="str">
        <x:f>'TESTI'!J33</x:f>
        <x:v>https://diaridipelle.it/legami.html</x:v>
      </x:c>
      <x:c r="R225" s="81" t="str">
        <x:v>Meta Business Suite</x:v>
      </x:c>
      <x:c r="S225" s="117" t="str">
        <x:v>Programmabile</x:v>
      </x:c>
      <x:c r="T225" s="117" t="str">
        <x:v>Da fare</x:v>
      </x:c>
      <x:c r="U225" s="81" t="str">
        <x:v>Controlla ordine delle immagini e collegamenti nella caption.</x:v>
      </x:c>
      <x:c r="V225" s="81" t="str">
        <x:f>IF(AND(E225&lt;TODAY(),T225&lt;&gt;"Pubblicato"),"SÌ","")</x:f>
      </x:c>
    </x:row>
    <x:row r="226" ht="78" customHeight="1">
      <x:c r="A226" s="117" t="str">
        <x:v>T225</x:v>
      </x:c>
      <x:c r="B226" s="117" t="n">
        <x:v>17</x:v>
      </x:c>
      <x:c r="C226" s="118" t="n">
        <x:f>'CAMPAGNE'!F34</x:f>
        <x:v>46348</x:v>
      </x:c>
      <x:c r="D226" s="119" t="n">
        <x:v>0.75</x:v>
      </x:c>
      <x:c r="E226" s="120" t="n">
        <x:f>'CAMPAGNE'!H34</x:f>
        <x:v>46350</x:v>
      </x:c>
      <x:c r="F226" s="117" t="str">
        <x:f>CHOOSE(WEEKDAY(E226,2),"Lunedì","Martedì","Mercoledì","Giovedì","Venerdì","Sabato","Domenica")</x:f>
        <x:v>Martedì</x:v>
      </x:c>
      <x:c r="G226" s="119" t="n">
        <x:v>0.8333333333333334</x:v>
      </x:c>
      <x:c r="H226" s="117" t="str">
        <x:v>Instagram</x:v>
      </x:c>
      <x:c r="I226" s="117" t="str">
        <x:v>Reel</x:v>
      </x:c>
      <x:c r="J226" s="81" t="str">
        <x:v>Legami</x:v>
      </x:c>
      <x:c r="K226" s="117" t="str">
        <x:v>CH10</x:v>
      </x:c>
      <x:c r="L226" s="81" t="str">
        <x:v>La sospensione</x:v>
      </x:c>
      <x:c r="M226" s="81" t="str">
        <x:v>Carica il video, imposta la copertina, incolla la caption e programma.</x:v>
      </x:c>
      <x:c r="N226" s="81" t="str">
        <x:v>Legami_Social_Pack/01_REELS/CH10_reel.mp4</x:v>
      </x:c>
      <x:c r="O226" s="81" t="str">
        <x:v>Legami_Social_Pack/02_REEL_COVERS/CH10_cover.jpg</x:v>
      </x:c>
      <x:c r="P226" s="81" t="str">
        <x:f>'TESTI'!E34</x:f>
        <x:v>Una telefonata interrompe Francoforte e riporta tutto verso la famiglia, la malattia di un padre e il tempo che si restringe.
Il corpo non è più soltanto desiderio: diventa fragilità, lutto, depressione e sopravvivenza. Tutti i simboli dei capitoli precedenti perdono eleganza davanti a un dolore che non può essere controllato.
La sospensione chiude Legămi senza una conclusione ordinata. La conseguenza diventa destino e la vita si spezza tra un prima e un dopo.
Leggi il terzo volume dal link nel profilo.
🛒 Amazon: https://www.amazon.it/dp/B0GZJR8FSJ
#DiariDiPelle #Legami #LaSospensione #Lutto #NarrativaItaliana</x:v>
      </x:c>
      <x:c r="Q226" s="81" t="str">
        <x:f>'TESTI'!J34</x:f>
        <x:v>https://diaridipelle.it/legami.html</x:v>
      </x:c>
      <x:c r="R226" s="81" t="str">
        <x:v>App Instagram</x:v>
      </x:c>
      <x:c r="S226" s="117" t="str">
        <x:v>Programmabile</x:v>
      </x:c>
      <x:c r="T226" s="117" t="str">
        <x:v>Da fare</x:v>
      </x:c>
      <x:c r="U226" s="81" t="str">
        <x:v>Controlla audio, ritaglio 9:16 e anteprima copertina. Il link è nel profilo.</x:v>
      </x:c>
      <x:c r="V226" s="81" t="str">
        <x:f>IF(AND(E226&lt;TODAY(),T226&lt;&gt;"Pubblicato"),"SÌ","")</x:f>
      </x:c>
    </x:row>
    <x:row r="227" ht="78" customHeight="1">
      <x:c r="A227" s="117" t="str">
        <x:v>T226</x:v>
      </x:c>
      <x:c r="B227" s="117" t="n">
        <x:v>17</x:v>
      </x:c>
      <x:c r="C227" s="118" t="n">
        <x:f>'CAMPAGNE'!F34</x:f>
        <x:v>46348</x:v>
      </x:c>
      <x:c r="D227" s="119" t="n">
        <x:v>0.75</x:v>
      </x:c>
      <x:c r="E227" s="120" t="n">
        <x:f>'CAMPAGNE'!H34</x:f>
        <x:v>46350</x:v>
      </x:c>
      <x:c r="F227" s="117" t="str">
        <x:f>CHOOSE(WEEKDAY(E227,2),"Lunedì","Martedì","Mercoledì","Giovedì","Venerdì","Sabato","Domenica")</x:f>
        <x:v>Martedì</x:v>
      </x:c>
      <x:c r="G227" s="119" t="n">
        <x:v>0.8333333333333334</x:v>
      </x:c>
      <x:c r="H227" s="117" t="str">
        <x:v>Facebook</x:v>
      </x:c>
      <x:c r="I227" s="117" t="str">
        <x:v>Reel</x:v>
      </x:c>
      <x:c r="J227" s="81" t="str">
        <x:v>Legami</x:v>
      </x:c>
      <x:c r="K227" s="117" t="str">
        <x:v>CH10</x:v>
      </x:c>
      <x:c r="L227" s="81" t="str">
        <x:v>La sospensione</x:v>
      </x:c>
      <x:c r="M227" s="81" t="str">
        <x:v>Crea un Reel nella Pagina, carica video e copertina, incolla la caption e programma.</x:v>
      </x:c>
      <x:c r="N227" s="81" t="str">
        <x:v>Legami_Social_Pack/01_REELS/CH10_reel.mp4</x:v>
      </x:c>
      <x:c r="O227" s="81" t="str">
        <x:v>Legami_Social_Pack/02_REEL_COVERS/CH10_cover.jpg</x:v>
      </x:c>
      <x:c r="P227" s="81" t="str">
        <x:f>'TESTI'!F34</x:f>
        <x:v>Una telefonata interrompe Francoforte e riporta tutto verso la famiglia, la malattia di un padre e il tempo che si restringe.
Il corpo non è più soltanto desiderio: diventa fragilità, lutto, depressione e sopravvivenza. Tutti i simboli dei capitoli precedenti perdono eleganza davanti a un dolore che non può essere controllato.
La sospensione chiude Legămi senza una conclusione ordinata. La conseguenza diventa destino e la vita si spezza tra un prima e un dopo.
Leggi il terzo volume dal link nel profilo.
🌐 https://diaridipelle.it/legami.html
🛒 Amazon: https://www.amazon.it/dp/B0GZJR8FSJ
#DiariDiPelle #Legami #LaSospensione #Lutto #NarrativaItaliana</x:v>
      </x:c>
      <x:c r="Q227" s="81" t="str">
        <x:f>'TESTI'!J34</x:f>
        <x:v>https://diaridipelle.it/legami.html</x:v>
      </x:c>
      <x:c r="R227" s="81" t="str">
        <x:v>Meta Business Suite</x:v>
      </x:c>
      <x:c r="S227" s="117" t="str">
        <x:v>Programmabile</x:v>
      </x:c>
      <x:c r="T227" s="117" t="str">
        <x:v>Da fare</x:v>
      </x:c>
      <x:c r="U227" s="81" t="str">
        <x:v>Pubblica sulla Pagina Facebook. I collegamenti nella caption sono cliccabili.</x:v>
      </x:c>
      <x:c r="V227" s="81" t="str">
        <x:f>IF(AND(E227&lt;TODAY(),T227&lt;&gt;"Pubblicato"),"SÌ","")</x:f>
      </x:c>
    </x:row>
    <x:row r="228" ht="78" customHeight="1">
      <x:c r="A228" s="117" t="str">
        <x:v>T227</x:v>
      </x:c>
      <x:c r="B228" s="117" t="n">
        <x:v>17</x:v>
      </x:c>
      <x:c r="C228" s="118" t="n">
        <x:f>'CAMPAGNE'!G34</x:f>
        <x:v>46348</x:v>
      </x:c>
      <x:c r="D228" s="119" t="n">
        <x:v>0.75</x:v>
      </x:c>
      <x:c r="E228" s="120" t="n">
        <x:f>'CAMPAGNE'!H34</x:f>
        <x:v>46350</x:v>
      </x:c>
      <x:c r="F228" s="117" t="str">
        <x:f>CHOOSE(WEEKDAY(E228,2),"Lunedì","Martedì","Mercoledì","Giovedì","Venerdì","Sabato","Domenica")</x:f>
        <x:v>Martedì</x:v>
      </x:c>
      <x:c r="G228" s="119" t="n">
        <x:v>0.8333333333333334</x:v>
      </x:c>
      <x:c r="H228" s="117" t="str">
        <x:v>TikTok</x:v>
      </x:c>
      <x:c r="I228" s="117" t="str">
        <x:v>Video</x:v>
      </x:c>
      <x:c r="J228" s="81" t="str">
        <x:v>Legami</x:v>
      </x:c>
      <x:c r="K228" s="117" t="str">
        <x:v>CH10</x:v>
      </x:c>
      <x:c r="L228" s="81" t="str">
        <x:v>La sospensione</x:v>
      </x:c>
      <x:c r="M228" s="81" t="str">
        <x:v>Carica il video in TikTok Studio, scegli la copertina, incolla la caption breve e programma.</x:v>
      </x:c>
      <x:c r="N228" s="81" t="str">
        <x:v>Legami_Social_Pack/01_REELS/CH10_reel.mp4</x:v>
      </x:c>
      <x:c r="O228" s="81" t="str">
        <x:v>Legami_Social_Pack/02_REEL_COVERS/CH10_cover.jpg</x:v>
      </x:c>
      <x:c r="P228" s="81" t="str">
        <x:f>'TESTI'!G34</x:f>
        <x:v>Una telefonata interrompe Francoforte e riporta tutto verso la famiglia, la malattia di un padre e il tempo che si restringe.
«La sospensione» da Legami.
Scopri il libro dal link in bio.
#DiariDiPelle #Legami #BookTokItalia #LibriTikTok</x:v>
      </x:c>
      <x:c r="Q228" s="81" t="str">
        <x:f>'TESTI'!J34</x:f>
        <x:v>https://diaridipelle.it/legami.html</x:v>
      </x:c>
      <x:c r="R228" s="81" t="str">
        <x:v>TikTok Studio</x:v>
      </x:c>
      <x:c r="S228" s="117" t="str">
        <x:v>Programmabile entro 10 giorni</x:v>
      </x:c>
      <x:c r="T228" s="117" t="str">
        <x:v>Da fare</x:v>
      </x:c>
      <x:c r="U228" s="81" t="str">
        <x:v>Non aggiungere watermark. Controlla anteprima verticale e audio.</x:v>
      </x:c>
      <x:c r="V228" s="81" t="str">
        <x:f>IF(AND(E228&lt;TODAY(),T228&lt;&gt;"Pubblicato"),"SÌ","")</x:f>
      </x:c>
    </x:row>
    <x:row r="229" ht="78" customHeight="1">
      <x:c r="A229" s="117" t="str">
        <x:v>T228</x:v>
      </x:c>
      <x:c r="B229" s="117" t="n">
        <x:v>17</x:v>
      </x:c>
      <x:c r="C229" s="118" t="n">
        <x:f>'CAMPAGNE'!I34</x:f>
        <x:v>46351</x:v>
      </x:c>
      <x:c r="D229" s="119" t="n">
        <x:v>0.4965277777777778</x:v>
      </x:c>
      <x:c r="E229" s="120" t="n">
        <x:f>'CAMPAGNE'!I34</x:f>
        <x:v>46351</x:v>
      </x:c>
      <x:c r="F229" s="117" t="str">
        <x:f>CHOOSE(WEEKDAY(E229,2),"Lunedì","Martedì","Mercoledì","Giovedì","Venerdì","Sabato","Domenica")</x:f>
        <x:v>Mercoledì</x:v>
      </x:c>
      <x:c r="G229" s="119" t="n">
        <x:v>0.5</x:v>
      </x:c>
      <x:c r="H229" s="117" t="str">
        <x:v>Instagram</x:v>
      </x:c>
      <x:c r="I229" s="117" t="str">
        <x:v>Storia</x:v>
      </x:c>
      <x:c r="J229" s="81" t="str">
        <x:v>Legami</x:v>
      </x:c>
      <x:c r="K229" s="117" t="str">
        <x:v>CH10</x:v>
      </x:c>
      <x:c r="L229" s="81" t="str">
        <x:v>La sospensione</x:v>
      </x:c>
      <x:c r="M229" s="81" t="str">
        <x:v>Carica l'immagine, aggiungi l'adesivo Link e pubblica.</x:v>
      </x:c>
      <x:c r="N229" s="81" t="str">
        <x:v>Legami_Social_Pack/04_STORIES/CH10_story.jpg</x:v>
      </x:c>
      <x:c r="O229" s="81" t="str">
        <x:v>Legami_Social_Pack/05_CAPTIONS/CH10_story_link.txt</x:v>
      </x:c>
      <x:c r="P229" s="81" t="str">
        <x:f>'TESTI'!N34</x:f>
        <x:v>Tocca SCOPRI IL LIBRO e scegli cartaceo o Kindle.</x:v>
      </x:c>
      <x:c r="Q229" s="81" t="str">
        <x:f>'TESTI'!H34</x:f>
        <x:v>https://diaridipelle.it/legami.html?utm_source=instagram&amp;utm_medium=story&amp;utm_campaign=legami&amp;utm_content=ch10</x:v>
      </x:c>
      <x:c r="R229" s="81" t="str">
        <x:v>App Instagram</x:v>
      </x:c>
      <x:c r="S229" s="117" t="str">
        <x:v>Manuale</x:v>
      </x:c>
      <x:c r="T229" s="117" t="str">
        <x:v>Da fare</x:v>
      </x:c>
      <x:c r="U229" s="81" t="str">
        <x:v>La data lavoro è lo stesso giorno, 5 minuti prima. Testo adesivo: SCOPRI IL LIBRO.</x:v>
      </x:c>
      <x:c r="V229" s="81" t="str">
        <x:f>IF(AND(E229&lt;TODAY(),T229&lt;&gt;"Pubblicato"),"SÌ","")</x:f>
      </x:c>
    </x:row>
    <x:row r="230" ht="78" customHeight="1">
      <x:c r="A230" s="117" t="str">
        <x:v>T229</x:v>
      </x:c>
      <x:c r="B230" s="117" t="n">
        <x:v>17</x:v>
      </x:c>
      <x:c r="C230" s="118" t="n">
        <x:f>'CAMPAGNE'!F34</x:f>
        <x:v>46348</x:v>
      </x:c>
      <x:c r="D230" s="119" t="n">
        <x:v>0.75</x:v>
      </x:c>
      <x:c r="E230" s="120" t="n">
        <x:f>'CAMPAGNE'!I34</x:f>
        <x:v>46351</x:v>
      </x:c>
      <x:c r="F230" s="117" t="str">
        <x:f>CHOOSE(WEEKDAY(E230,2),"Lunedì","Martedì","Mercoledì","Giovedì","Venerdì","Sabato","Domenica")</x:f>
        <x:v>Mercoledì</x:v>
      </x:c>
      <x:c r="G230" s="119" t="n">
        <x:v>0.5</x:v>
      </x:c>
      <x:c r="H230" s="117" t="str">
        <x:v>Facebook</x:v>
      </x:c>
      <x:c r="I230" s="117" t="str">
        <x:v>Storia</x:v>
      </x:c>
      <x:c r="J230" s="81" t="str">
        <x:v>Legami</x:v>
      </x:c>
      <x:c r="K230" s="117" t="str">
        <x:v>CH10</x:v>
      </x:c>
      <x:c r="L230" s="81" t="str">
        <x:v>La sospensione</x:v>
      </x:c>
      <x:c r="M230" s="81" t="str">
        <x:v>Crea una Storia della Pagina, carica l'immagine, aggiungi il link e programma.</x:v>
      </x:c>
      <x:c r="N230" s="81" t="str">
        <x:v>Legami_Social_Pack/04_STORIES/CH10_story.jpg</x:v>
      </x:c>
      <x:c r="O230" s="81" t="str">
        <x:v>Legami_Social_Pack/05_CAPTIONS/CH10_story_link.txt</x:v>
      </x:c>
      <x:c r="P230" s="81" t="str">
        <x:f>'TESTI'!N34</x:f>
        <x:v>Tocca SCOPRI IL LIBRO e scegli cartaceo o Kindle.</x:v>
      </x:c>
      <x:c r="Q230" s="81" t="str">
        <x:f>'TESTI'!I34</x:f>
        <x:v>https://diaridipelle.it/legami.html?utm_source=facebook&amp;utm_medium=story&amp;utm_campaign=legami&amp;utm_content=ch10</x:v>
      </x:c>
      <x:c r="R230" s="81" t="str">
        <x:v>Meta Business Suite</x:v>
      </x:c>
      <x:c r="S230" s="117" t="str">
        <x:v>Programmabile</x:v>
      </x:c>
      <x:c r="T230" s="117" t="str">
        <x:v>Da fare</x:v>
      </x:c>
      <x:c r="U230" s="81" t="str">
        <x:v>Controlla che la destinazione sia la Pagina Facebook.</x:v>
      </x:c>
      <x:c r="V230" s="81" t="str">
        <x:f>IF(AND(E230&lt;TODAY(),T230&lt;&gt;"Pubblicato"),"SÌ","")</x:f>
      </x:c>
    </x:row>
    <x:row r="231" ht="78" customHeight="1">
      <x:c r="A231" s="117" t="str">
        <x:v>T230</x:v>
      </x:c>
      <x:c r="B231" s="117" t="n">
        <x:v>17</x:v>
      </x:c>
      <x:c r="C231" s="118" t="n">
        <x:f>'CAMPAGNE'!F34</x:f>
        <x:v>46348</x:v>
      </x:c>
      <x:c r="D231" s="119" t="n">
        <x:v>0.75</x:v>
      </x:c>
      <x:c r="E231" s="120" t="n">
        <x:f>'CAMPAGNE'!J34</x:f>
        <x:v>46352</x:v>
      </x:c>
      <x:c r="F231" s="117" t="str">
        <x:f>CHOOSE(WEEKDAY(E231,2),"Lunedì","Martedì","Mercoledì","Giovedì","Venerdì","Sabato","Domenica")</x:f>
        <x:v>Giovedì</x:v>
      </x:c>
      <x:c r="G231" s="119" t="n">
        <x:v>0.8333333333333334</x:v>
      </x:c>
      <x:c r="H231" s="117" t="str">
        <x:v>Instagram</x:v>
      </x:c>
      <x:c r="I231" s="117" t="str">
        <x:v>Carosello</x:v>
      </x:c>
      <x:c r="J231" s="81" t="str">
        <x:v>Legami</x:v>
      </x:c>
      <x:c r="K231" s="117" t="str">
        <x:v>CH10</x:v>
      </x:c>
      <x:c r="L231" s="81" t="str">
        <x:v>La sospensione</x:v>
      </x:c>
      <x:c r="M231" s="81" t="str">
        <x:v>Carica le tre immagini nell'ordine 01, 02, 03; incolla la caption e programma.</x:v>
      </x:c>
      <x:c r="N231" s="81" t="str">
        <x:v>Legami_Social_Pack/03_CAROUSELS/CH10/CH10_01.jpg
Legami_Social_Pack/03_CAROUSELS/CH10/CH10_02.jpg
Legami_Social_Pack/03_CAROUSELS/CH10/CH10_03.jpg</x:v>
      </x:c>
      <x:c r="O231" s="81" t="str">
        <x:v>Ordine obbligatorio: 01 → 02 → 03</x:v>
      </x:c>
      <x:c r="P231" s="81" t="str">
        <x:f>'TESTI'!E34</x:f>
        <x:v>Una telefonata interrompe Francoforte e riporta tutto verso la famiglia, la malattia di un padre e il tempo che si restringe.
Il corpo non è più soltanto desiderio: diventa fragilità, lutto, depressione e sopravvivenza. Tutti i simboli dei capitoli precedenti perdono eleganza davanti a un dolore che non può essere controllato.
La sospensione chiude Legămi senza una conclusione ordinata. La conseguenza diventa destino e la vita si spezza tra un prima e un dopo.
Leggi il terzo volume dal link nel profilo.
🛒 Amazon: https://www.amazon.it/dp/B0GZJR8FSJ
#DiariDiPelle #Legami #LaSospensione #Lutto #NarrativaItaliana</x:v>
      </x:c>
      <x:c r="Q231" s="81" t="str">
        <x:f>'TESTI'!J34</x:f>
        <x:v>https://diaridipelle.it/legami.html</x:v>
      </x:c>
      <x:c r="R231" s="81" t="str">
        <x:v>App Instagram</x:v>
      </x:c>
      <x:c r="S231" s="117" t="str">
        <x:v>Programmabile</x:v>
      </x:c>
      <x:c r="T231" s="117" t="str">
        <x:v>Da fare</x:v>
      </x:c>
      <x:c r="U231" s="81" t="str">
        <x:v>Verifica che nessuna slide sia tagliata. Il link è nel profilo.</x:v>
      </x:c>
      <x:c r="V231" s="81" t="str">
        <x:f>IF(AND(E231&lt;TODAY(),T231&lt;&gt;"Pubblicato"),"SÌ","")</x:f>
      </x:c>
    </x:row>
    <x:row r="232" ht="78" customHeight="1">
      <x:c r="A232" s="117" t="str">
        <x:v>T231</x:v>
      </x:c>
      <x:c r="B232" s="117" t="n">
        <x:v>17</x:v>
      </x:c>
      <x:c r="C232" s="118" t="n">
        <x:f>'CAMPAGNE'!F34</x:f>
        <x:v>46348</x:v>
      </x:c>
      <x:c r="D232" s="119" t="n">
        <x:v>0.75</x:v>
      </x:c>
      <x:c r="E232" s="120" t="n">
        <x:f>'CAMPAGNE'!J34</x:f>
        <x:v>46352</x:v>
      </x:c>
      <x:c r="F232" s="117" t="str">
        <x:f>CHOOSE(WEEKDAY(E232,2),"Lunedì","Martedì","Mercoledì","Giovedì","Venerdì","Sabato","Domenica")</x:f>
        <x:v>Giovedì</x:v>
      </x:c>
      <x:c r="G232" s="119" t="n">
        <x:v>0.8333333333333334</x:v>
      </x:c>
      <x:c r="H232" s="117" t="str">
        <x:v>Facebook</x:v>
      </x:c>
      <x:c r="I232" s="117" t="str">
        <x:v>Carosello</x:v>
      </x:c>
      <x:c r="J232" s="81" t="str">
        <x:v>Legami</x:v>
      </x:c>
      <x:c r="K232" s="117" t="str">
        <x:v>CH10</x:v>
      </x:c>
      <x:c r="L232" s="81" t="str">
        <x:v>La sospensione</x:v>
      </x:c>
      <x:c r="M232" s="81" t="str">
        <x:v>Carica le tre immagini nell'ordine 01, 02, 03; incolla la caption e programma.</x:v>
      </x:c>
      <x:c r="N232" s="81" t="str">
        <x:v>Legami_Social_Pack/03_CAROUSELS/CH10/CH10_01.jpg
Legami_Social_Pack/03_CAROUSELS/CH10/CH10_02.jpg
Legami_Social_Pack/03_CAROUSELS/CH10/CH10_03.jpg</x:v>
      </x:c>
      <x:c r="O232" s="81" t="str">
        <x:v>Ordine obbligatorio: 01 → 02 → 03</x:v>
      </x:c>
      <x:c r="P232" s="81" t="str">
        <x:f>'TESTI'!F34</x:f>
        <x:v>Una telefonata interrompe Francoforte e riporta tutto verso la famiglia, la malattia di un padre e il tempo che si restringe.
Il corpo non è più soltanto desiderio: diventa fragilità, lutto, depressione e sopravvivenza. Tutti i simboli dei capitoli precedenti perdono eleganza davanti a un dolore che non può essere controllato.
La sospensione chiude Legămi senza una conclusione ordinata. La conseguenza diventa destino e la vita si spezza tra un prima e un dopo.
Leggi il terzo volume dal link nel profilo.
🌐 https://diaridipelle.it/legami.html
🛒 Amazon: https://www.amazon.it/dp/B0GZJR8FSJ
#DiariDiPelle #Legami #LaSospensione #Lutto #NarrativaItaliana</x:v>
      </x:c>
      <x:c r="Q232" s="81" t="str">
        <x:f>'TESTI'!J34</x:f>
        <x:v>https://diaridipelle.it/legami.html</x:v>
      </x:c>
      <x:c r="R232" s="81" t="str">
        <x:v>Meta Business Suite</x:v>
      </x:c>
      <x:c r="S232" s="117" t="str">
        <x:v>Programmabile</x:v>
      </x:c>
      <x:c r="T232" s="117" t="str">
        <x:v>Da fare</x:v>
      </x:c>
      <x:c r="U232" s="81" t="str">
        <x:v>Controlla ordine delle immagini e collegamenti nella caption.</x:v>
      </x:c>
      <x:c r="V232" s="81" t="str">
        <x:f>IF(AND(E232&lt;TODAY(),T232&lt;&gt;"Pubblicato"),"SÌ","")</x:f>
      </x:c>
    </x:row>
    <x:row r="233" ht="78" customHeight="1">
      <x:c r="A233" s="117" t="str">
        <x:v>T232</x:v>
      </x:c>
      <x:c r="B233" s="117" t="n">
        <x:v>17</x:v>
      </x:c>
      <x:c r="C233" s="118" t="n">
        <x:f>'CAMPAGNE'!F35</x:f>
        <x:v>46348</x:v>
      </x:c>
      <x:c r="D233" s="119" t="n">
        <x:v>0.75</x:v>
      </x:c>
      <x:c r="E233" s="120" t="n">
        <x:f>'CAMPAGNE'!H35</x:f>
        <x:v>46353</x:v>
      </x:c>
      <x:c r="F233" s="117" t="str">
        <x:f>CHOOSE(WEEKDAY(E233,2),"Lunedì","Martedì","Mercoledì","Giovedì","Venerdì","Sabato","Domenica")</x:f>
        <x:v>Venerdì</x:v>
      </x:c>
      <x:c r="G233" s="119" t="n">
        <x:v>0.8333333333333334</x:v>
      </x:c>
      <x:c r="H233" s="117" t="str">
        <x:v>Instagram</x:v>
      </x:c>
      <x:c r="I233" s="117" t="str">
        <x:v>Reel</x:v>
      </x:c>
      <x:c r="J233" s="81" t="str">
        <x:v>Legami</x:v>
      </x:c>
      <x:c r="K233" s="117" t="str">
        <x:v>EXTRA</x:v>
      </x:c>
      <x:c r="L233" s="81" t="str">
        <x:v>Il legame che torna</x:v>
      </x:c>
      <x:c r="M233" s="81" t="str">
        <x:v>Carica il video, imposta la copertina, incolla la caption e programma.</x:v>
      </x:c>
      <x:c r="N233" s="81" t="str">
        <x:v>Legami_Social_Pack/01_REELS/EXTRA_reel.mp4</x:v>
      </x:c>
      <x:c r="O233" s="81" t="str">
        <x:v>Legami_Social_Pack/02_REEL_COVERS/EXTRA_cover.jpg</x:v>
      </x:c>
      <x:c r="P233" s="81" t="str">
        <x:f>'TESTI'!E35</x:f>
        <x:v>Si può provare a cambiare città, corpo, ritmo e promessa. Ma certi legami continuano a tirare anche quando sembrano finiti.
Questo contenuto extra attraversa il cuore di Legămi: il bisogno di sentirsi scelti, la paura di essere sostituiti e il confine incerto tra una porta aperta e una casa vera.
Il terzo volume di Diari di Pelle è disponibile su Amazon.
Scoprilo dal link nel profilo.
🛒 Amazon: https://www.amazon.it/dp/B0GZJR8FSJ
#DiariDiPelle #Legami #BookReel #BookstagramItalia #NarrativaPsicologica</x:v>
      </x:c>
      <x:c r="Q233" s="81" t="str">
        <x:f>'TESTI'!J35</x:f>
        <x:v>https://diaridipelle.it/legami.html</x:v>
      </x:c>
      <x:c r="R233" s="81" t="str">
        <x:v>App Instagram</x:v>
      </x:c>
      <x:c r="S233" s="117" t="str">
        <x:v>Programmabile</x:v>
      </x:c>
      <x:c r="T233" s="117" t="str">
        <x:v>Da fare</x:v>
      </x:c>
      <x:c r="U233" s="81" t="str">
        <x:v>Controlla audio, ritaglio 9:16 e anteprima copertina. Il link è nel profilo.</x:v>
      </x:c>
      <x:c r="V233" s="81" t="str">
        <x:f>IF(AND(E233&lt;TODAY(),T233&lt;&gt;"Pubblicato"),"SÌ","")</x:f>
      </x:c>
    </x:row>
    <x:row r="234" ht="78" customHeight="1">
      <x:c r="A234" s="117" t="str">
        <x:v>T233</x:v>
      </x:c>
      <x:c r="B234" s="117" t="n">
        <x:v>17</x:v>
      </x:c>
      <x:c r="C234" s="118" t="n">
        <x:f>'CAMPAGNE'!F35</x:f>
        <x:v>46348</x:v>
      </x:c>
      <x:c r="D234" s="119" t="n">
        <x:v>0.75</x:v>
      </x:c>
      <x:c r="E234" s="120" t="n">
        <x:f>'CAMPAGNE'!H35</x:f>
        <x:v>46353</x:v>
      </x:c>
      <x:c r="F234" s="117" t="str">
        <x:f>CHOOSE(WEEKDAY(E234,2),"Lunedì","Martedì","Mercoledì","Giovedì","Venerdì","Sabato","Domenica")</x:f>
        <x:v>Venerdì</x:v>
      </x:c>
      <x:c r="G234" s="119" t="n">
        <x:v>0.8333333333333334</x:v>
      </x:c>
      <x:c r="H234" s="117" t="str">
        <x:v>Facebook</x:v>
      </x:c>
      <x:c r="I234" s="117" t="str">
        <x:v>Reel</x:v>
      </x:c>
      <x:c r="J234" s="81" t="str">
        <x:v>Legami</x:v>
      </x:c>
      <x:c r="K234" s="117" t="str">
        <x:v>EXTRA</x:v>
      </x:c>
      <x:c r="L234" s="81" t="str">
        <x:v>Il legame che torna</x:v>
      </x:c>
      <x:c r="M234" s="81" t="str">
        <x:v>Crea un Reel nella Pagina, carica video e copertina, incolla la caption e programma.</x:v>
      </x:c>
      <x:c r="N234" s="81" t="str">
        <x:v>Legami_Social_Pack/01_REELS/EXTRA_reel.mp4</x:v>
      </x:c>
      <x:c r="O234" s="81" t="str">
        <x:v>Legami_Social_Pack/02_REEL_COVERS/EXTRA_cover.jpg</x:v>
      </x:c>
      <x:c r="P234" s="81" t="str">
        <x:f>'TESTI'!F35</x:f>
        <x:v>Si può provare a cambiare città, corpo, ritmo e promessa. Ma certi legami continuano a tirare anche quando sembrano finiti.
Questo contenuto extra attraversa il cuore di Legămi: il bisogno di sentirsi scelti, la paura di essere sostituiti e il confine incerto tra una porta aperta e una casa vera.
Il terzo volume di Diari di Pelle è disponibile su Amazon.
Scoprilo dal link nel profilo.
🌐 https://diaridipelle.it/legami.html
🛒 Amazon: https://www.amazon.it/dp/B0GZJR8FSJ
#DiariDiPelle #Legami #BookReel #BookstagramItalia #NarrativaPsicologica</x:v>
      </x:c>
      <x:c r="Q234" s="81" t="str">
        <x:f>'TESTI'!J35</x:f>
        <x:v>https://diaridipelle.it/legami.html</x:v>
      </x:c>
      <x:c r="R234" s="81" t="str">
        <x:v>Meta Business Suite</x:v>
      </x:c>
      <x:c r="S234" s="117" t="str">
        <x:v>Programmabile</x:v>
      </x:c>
      <x:c r="T234" s="117" t="str">
        <x:v>Da fare</x:v>
      </x:c>
      <x:c r="U234" s="81" t="str">
        <x:v>Pubblica sulla Pagina Facebook. I collegamenti nella caption sono cliccabili.</x:v>
      </x:c>
      <x:c r="V234" s="81" t="str">
        <x:f>IF(AND(E234&lt;TODAY(),T234&lt;&gt;"Pubblicato"),"SÌ","")</x:f>
      </x:c>
    </x:row>
    <x:row r="235" ht="78" customHeight="1">
      <x:c r="A235" s="117" t="str">
        <x:v>T234</x:v>
      </x:c>
      <x:c r="B235" s="117" t="n">
        <x:v>17</x:v>
      </x:c>
      <x:c r="C235" s="118" t="n">
        <x:f>'CAMPAGNE'!G35</x:f>
        <x:v>46348</x:v>
      </x:c>
      <x:c r="D235" s="119" t="n">
        <x:v>0.75</x:v>
      </x:c>
      <x:c r="E235" s="120" t="n">
        <x:f>'CAMPAGNE'!H35</x:f>
        <x:v>46353</x:v>
      </x:c>
      <x:c r="F235" s="117" t="str">
        <x:f>CHOOSE(WEEKDAY(E235,2),"Lunedì","Martedì","Mercoledì","Giovedì","Venerdì","Sabato","Domenica")</x:f>
        <x:v>Venerdì</x:v>
      </x:c>
      <x:c r="G235" s="119" t="n">
        <x:v>0.8333333333333334</x:v>
      </x:c>
      <x:c r="H235" s="117" t="str">
        <x:v>TikTok</x:v>
      </x:c>
      <x:c r="I235" s="117" t="str">
        <x:v>Video</x:v>
      </x:c>
      <x:c r="J235" s="81" t="str">
        <x:v>Legami</x:v>
      </x:c>
      <x:c r="K235" s="117" t="str">
        <x:v>EXTRA</x:v>
      </x:c>
      <x:c r="L235" s="81" t="str">
        <x:v>Il legame che torna</x:v>
      </x:c>
      <x:c r="M235" s="81" t="str">
        <x:v>Carica il video in TikTok Studio, scegli la copertina, incolla la caption breve e programma.</x:v>
      </x:c>
      <x:c r="N235" s="81" t="str">
        <x:v>Legami_Social_Pack/01_REELS/EXTRA_reel.mp4</x:v>
      </x:c>
      <x:c r="O235" s="81" t="str">
        <x:v>Legami_Social_Pack/02_REEL_COVERS/EXTRA_cover.jpg</x:v>
      </x:c>
      <x:c r="P235" s="81" t="str">
        <x:f>'TESTI'!G35</x:f>
        <x:v>Si può provare a cambiare città, corpo, ritmo e promessa. Ma certi legami continuano a tirare anche quando sembrano finiti.
«Il legame che torna» da Legami.
Scopri il libro dal link in bio.
#DiariDiPelle #Legami #BookTokItalia #LibriTikTok</x:v>
      </x:c>
      <x:c r="Q235" s="81" t="str">
        <x:f>'TESTI'!J35</x:f>
        <x:v>https://diaridipelle.it/legami.html</x:v>
      </x:c>
      <x:c r="R235" s="81" t="str">
        <x:v>TikTok Studio</x:v>
      </x:c>
      <x:c r="S235" s="117" t="str">
        <x:v>Programmabile entro 10 giorni</x:v>
      </x:c>
      <x:c r="T235" s="117" t="str">
        <x:v>Da fare</x:v>
      </x:c>
      <x:c r="U235" s="81" t="str">
        <x:v>Non aggiungere watermark. Controlla anteprima verticale e audio.</x:v>
      </x:c>
      <x:c r="V235" s="81" t="str">
        <x:f>IF(AND(E235&lt;TODAY(),T235&lt;&gt;"Pubblicato"),"SÌ","")</x:f>
      </x:c>
    </x:row>
    <x:row r="236" ht="78" customHeight="1">
      <x:c r="A236" s="117" t="str">
        <x:v>T235</x:v>
      </x:c>
      <x:c r="B236" s="117" t="n">
        <x:v>17</x:v>
      </x:c>
      <x:c r="C236" s="118" t="n">
        <x:f>'CAMPAGNE'!I35</x:f>
        <x:v>46354</x:v>
      </x:c>
      <x:c r="D236" s="119" t="n">
        <x:v>0.4965277777777778</x:v>
      </x:c>
      <x:c r="E236" s="120" t="n">
        <x:f>'CAMPAGNE'!I35</x:f>
        <x:v>46354</x:v>
      </x:c>
      <x:c r="F236" s="117" t="str">
        <x:f>CHOOSE(WEEKDAY(E236,2),"Lunedì","Martedì","Mercoledì","Giovedì","Venerdì","Sabato","Domenica")</x:f>
        <x:v>Sabato</x:v>
      </x:c>
      <x:c r="G236" s="119" t="n">
        <x:v>0.5</x:v>
      </x:c>
      <x:c r="H236" s="117" t="str">
        <x:v>Instagram</x:v>
      </x:c>
      <x:c r="I236" s="117" t="str">
        <x:v>Storia</x:v>
      </x:c>
      <x:c r="J236" s="81" t="str">
        <x:v>Legami</x:v>
      </x:c>
      <x:c r="K236" s="117" t="str">
        <x:v>EXTRA</x:v>
      </x:c>
      <x:c r="L236" s="81" t="str">
        <x:v>Il legame che torna</x:v>
      </x:c>
      <x:c r="M236" s="81" t="str">
        <x:v>Carica l'immagine, aggiungi l'adesivo Link e pubblica.</x:v>
      </x:c>
      <x:c r="N236" s="81" t="str">
        <x:v>Legami_Social_Pack/04_STORIES/EXTRA_story.jpg</x:v>
      </x:c>
      <x:c r="O236" s="81" t="str">
        <x:v>Legami_Social_Pack/05_CAPTIONS/EXTRA_story_link.txt</x:v>
      </x:c>
      <x:c r="P236" s="81" t="str">
        <x:f>'TESTI'!N35</x:f>
        <x:v>Tocca SCOPRI IL LIBRO e scegli cartaceo o Kindle.</x:v>
      </x:c>
      <x:c r="Q236" s="81" t="str">
        <x:f>'TESTI'!H35</x:f>
        <x:v>https://diaridipelle.it/legami.html?utm_source=instagram&amp;utm_medium=story&amp;utm_campaign=legami&amp;utm_content=extra</x:v>
      </x:c>
      <x:c r="R236" s="81" t="str">
        <x:v>App Instagram</x:v>
      </x:c>
      <x:c r="S236" s="117" t="str">
        <x:v>Manuale</x:v>
      </x:c>
      <x:c r="T236" s="117" t="str">
        <x:v>Da fare</x:v>
      </x:c>
      <x:c r="U236" s="81" t="str">
        <x:v>La data lavoro è lo stesso giorno, 5 minuti prima. Testo adesivo: SCOPRI IL LIBRO.</x:v>
      </x:c>
      <x:c r="V236" s="81" t="str">
        <x:f>IF(AND(E236&lt;TODAY(),T236&lt;&gt;"Pubblicato"),"SÌ","")</x:f>
      </x:c>
    </x:row>
    <x:row r="237" ht="78" customHeight="1">
      <x:c r="A237" s="117" t="str">
        <x:v>T236</x:v>
      </x:c>
      <x:c r="B237" s="117" t="n">
        <x:v>17</x:v>
      </x:c>
      <x:c r="C237" s="118" t="n">
        <x:f>'CAMPAGNE'!F35</x:f>
        <x:v>46348</x:v>
      </x:c>
      <x:c r="D237" s="119" t="n">
        <x:v>0.75</x:v>
      </x:c>
      <x:c r="E237" s="120" t="n">
        <x:f>'CAMPAGNE'!I35</x:f>
        <x:v>46354</x:v>
      </x:c>
      <x:c r="F237" s="117" t="str">
        <x:f>CHOOSE(WEEKDAY(E237,2),"Lunedì","Martedì","Mercoledì","Giovedì","Venerdì","Sabato","Domenica")</x:f>
        <x:v>Sabato</x:v>
      </x:c>
      <x:c r="G237" s="119" t="n">
        <x:v>0.5</x:v>
      </x:c>
      <x:c r="H237" s="117" t="str">
        <x:v>Facebook</x:v>
      </x:c>
      <x:c r="I237" s="117" t="str">
        <x:v>Storia</x:v>
      </x:c>
      <x:c r="J237" s="81" t="str">
        <x:v>Legami</x:v>
      </x:c>
      <x:c r="K237" s="117" t="str">
        <x:v>EXTRA</x:v>
      </x:c>
      <x:c r="L237" s="81" t="str">
        <x:v>Il legame che torna</x:v>
      </x:c>
      <x:c r="M237" s="81" t="str">
        <x:v>Crea una Storia della Pagina, carica l'immagine, aggiungi il link e programma.</x:v>
      </x:c>
      <x:c r="N237" s="81" t="str">
        <x:v>Legami_Social_Pack/04_STORIES/EXTRA_story.jpg</x:v>
      </x:c>
      <x:c r="O237" s="81" t="str">
        <x:v>Legami_Social_Pack/05_CAPTIONS/EXTRA_story_link.txt</x:v>
      </x:c>
      <x:c r="P237" s="81" t="str">
        <x:f>'TESTI'!N35</x:f>
        <x:v>Tocca SCOPRI IL LIBRO e scegli cartaceo o Kindle.</x:v>
      </x:c>
      <x:c r="Q237" s="81" t="str">
        <x:f>'TESTI'!I35</x:f>
        <x:v>https://diaridipelle.it/legami.html?utm_source=facebook&amp;utm_medium=story&amp;utm_campaign=legami&amp;utm_content=extra</x:v>
      </x:c>
      <x:c r="R237" s="81" t="str">
        <x:v>Meta Business Suite</x:v>
      </x:c>
      <x:c r="S237" s="117" t="str">
        <x:v>Programmabile</x:v>
      </x:c>
      <x:c r="T237" s="117" t="str">
        <x:v>Da fare</x:v>
      </x:c>
      <x:c r="U237" s="81" t="str">
        <x:v>Controlla che la destinazione sia la Pagina Facebook.</x:v>
      </x:c>
      <x:c r="V237" s="81" t="str">
        <x:f>IF(AND(E237&lt;TODAY(),T237&lt;&gt;"Pubblicato"),"SÌ","")</x:f>
      </x:c>
    </x:row>
    <x:row r="238" ht="78" customHeight="1">
      <x:c r="A238" s="117" t="str">
        <x:v>T237</x:v>
      </x:c>
      <x:c r="B238" s="117" t="n">
        <x:v>17</x:v>
      </x:c>
      <x:c r="C238" s="118" t="n">
        <x:f>'CAMPAGNE'!F35</x:f>
        <x:v>46348</x:v>
      </x:c>
      <x:c r="D238" s="119" t="n">
        <x:v>0.75</x:v>
      </x:c>
      <x:c r="E238" s="120" t="n">
        <x:f>'CAMPAGNE'!J35</x:f>
        <x:v>46355</x:v>
      </x:c>
      <x:c r="F238" s="117" t="str">
        <x:f>CHOOSE(WEEKDAY(E238,2),"Lunedì","Martedì","Mercoledì","Giovedì","Venerdì","Sabato","Domenica")</x:f>
        <x:v>Domenica</x:v>
      </x:c>
      <x:c r="G238" s="119" t="n">
        <x:v>0.4583333333333333</x:v>
      </x:c>
      <x:c r="H238" s="117" t="str">
        <x:v>Instagram</x:v>
      </x:c>
      <x:c r="I238" s="117" t="str">
        <x:v>Carosello</x:v>
      </x:c>
      <x:c r="J238" s="81" t="str">
        <x:v>Legami</x:v>
      </x:c>
      <x:c r="K238" s="117" t="str">
        <x:v>EXTRA</x:v>
      </x:c>
      <x:c r="L238" s="81" t="str">
        <x:v>Il legame che torna</x:v>
      </x:c>
      <x:c r="M238" s="81" t="str">
        <x:v>Carica le tre immagini nell'ordine 01, 02, 03; incolla la caption e programma.</x:v>
      </x:c>
      <x:c r="N238" s="81" t="str">
        <x:v>Legami_Social_Pack/03_CAROUSELS/EXTRA/EXTRA_01.jpg
Legami_Social_Pack/03_CAROUSELS/EXTRA/EXTRA_02.jpg
Legami_Social_Pack/03_CAROUSELS/EXTRA/EXTRA_03.jpg</x:v>
      </x:c>
      <x:c r="O238" s="81" t="str">
        <x:v>Ordine obbligatorio: 01 → 02 → 03</x:v>
      </x:c>
      <x:c r="P238" s="81" t="str">
        <x:f>'TESTI'!E35</x:f>
        <x:v>Si può provare a cambiare città, corpo, ritmo e promessa. Ma certi legami continuano a tirare anche quando sembrano finiti.
Questo contenuto extra attraversa il cuore di Legămi: il bisogno di sentirsi scelti, la paura di essere sostituiti e il confine incerto tra una porta aperta e una casa vera.
Il terzo volume di Diari di Pelle è disponibile su Amazon.
Scoprilo dal link nel profilo.
🛒 Amazon: https://www.amazon.it/dp/B0GZJR8FSJ
#DiariDiPelle #Legami #BookReel #BookstagramItalia #NarrativaPsicologica</x:v>
      </x:c>
      <x:c r="Q238" s="81" t="str">
        <x:f>'TESTI'!J35</x:f>
        <x:v>https://diaridipelle.it/legami.html</x:v>
      </x:c>
      <x:c r="R238" s="81" t="str">
        <x:v>App Instagram</x:v>
      </x:c>
      <x:c r="S238" s="117" t="str">
        <x:v>Programmabile</x:v>
      </x:c>
      <x:c r="T238" s="117" t="str">
        <x:v>Da fare</x:v>
      </x:c>
      <x:c r="U238" s="81" t="str">
        <x:v>Verifica che nessuna slide sia tagliata. Il link è nel profilo.</x:v>
      </x:c>
      <x:c r="V238" s="81" t="str">
        <x:f>IF(AND(E238&lt;TODAY(),T238&lt;&gt;"Pubblicato"),"SÌ","")</x:f>
      </x:c>
    </x:row>
    <x:row r="239" ht="78" customHeight="1">
      <x:c r="A239" s="121" t="str">
        <x:v>T238</x:v>
      </x:c>
      <x:c r="B239" s="121" t="n">
        <x:v>17</x:v>
      </x:c>
      <x:c r="C239" s="122" t="n">
        <x:f>'CAMPAGNE'!F35</x:f>
        <x:v>46348</x:v>
      </x:c>
      <x:c r="D239" s="123" t="n">
        <x:v>0.75</x:v>
      </x:c>
      <x:c r="E239" s="124" t="n">
        <x:f>'CAMPAGNE'!J35</x:f>
        <x:v>46355</x:v>
      </x:c>
      <x:c r="F239" s="121" t="str">
        <x:f>CHOOSE(WEEKDAY(E239,2),"Lunedì","Martedì","Mercoledì","Giovedì","Venerdì","Sabato","Domenica")</x:f>
        <x:v>Domenica</x:v>
      </x:c>
      <x:c r="G239" s="123" t="n">
        <x:v>0.4583333333333333</x:v>
      </x:c>
      <x:c r="H239" s="121" t="str">
        <x:v>Facebook</x:v>
      </x:c>
      <x:c r="I239" s="121" t="str">
        <x:v>Carosello</x:v>
      </x:c>
      <x:c r="J239" s="82" t="str">
        <x:v>Legami</x:v>
      </x:c>
      <x:c r="K239" s="121" t="str">
        <x:v>EXTRA</x:v>
      </x:c>
      <x:c r="L239" s="82" t="str">
        <x:v>Il legame che torna</x:v>
      </x:c>
      <x:c r="M239" s="82" t="str">
        <x:v>Carica le tre immagini nell'ordine 01, 02, 03; incolla la caption e programma.</x:v>
      </x:c>
      <x:c r="N239" s="82" t="str">
        <x:v>Legami_Social_Pack/03_CAROUSELS/EXTRA/EXTRA_01.jpg
Legami_Social_Pack/03_CAROUSELS/EXTRA/EXTRA_02.jpg
Legami_Social_Pack/03_CAROUSELS/EXTRA/EXTRA_03.jpg</x:v>
      </x:c>
      <x:c r="O239" s="82" t="str">
        <x:v>Ordine obbligatorio: 01 → 02 → 03</x:v>
      </x:c>
      <x:c r="P239" s="82" t="str">
        <x:f>'TESTI'!F35</x:f>
        <x:v>Si può provare a cambiare città, corpo, ritmo e promessa. Ma certi legami continuano a tirare anche quando sembrano finiti.
Questo contenuto extra attraversa il cuore di Legămi: il bisogno di sentirsi scelti, la paura di essere sostituiti e il confine incerto tra una porta aperta e una casa vera.
Il terzo volume di Diari di Pelle è disponibile su Amazon.
Scoprilo dal link nel profilo.
🌐 https://diaridipelle.it/legami.html
🛒 Amazon: https://www.amazon.it/dp/B0GZJR8FSJ
#DiariDiPelle #Legami #BookReel #BookstagramItalia #NarrativaPsicologica</x:v>
      </x:c>
      <x:c r="Q239" s="82" t="str">
        <x:f>'TESTI'!J35</x:f>
        <x:v>https://diaridipelle.it/legami.html</x:v>
      </x:c>
      <x:c r="R239" s="82" t="str">
        <x:v>Meta Business Suite</x:v>
      </x:c>
      <x:c r="S239" s="121" t="str">
        <x:v>Programmabile</x:v>
      </x:c>
      <x:c r="T239" s="121" t="str">
        <x:v>Da fare</x:v>
      </x:c>
      <x:c r="U239" s="82" t="str">
        <x:v>Controlla ordine delle immagini e collegamenti nella caption.</x:v>
      </x:c>
      <x:c r="V239" s="82" t="str">
        <x:f>IF(AND(E239&lt;TODAY(),T239&lt;&gt;"Pubblicato"),"SÌ","")</x:f>
      </x:c>
    </x:row>
  </x:sheetData>
  <x:conditionalFormatting sqref="A2:V239">
    <x:cfRule type="expression" dxfId="0" priority="1">
      <x:formula>$T2="Pubblicato"</x:formula>
    </x:cfRule>
    <x:cfRule type="expression" dxfId="1" priority="2">
      <x:formula>$T2="Programmato"</x:formula>
    </x:cfRule>
    <x:cfRule type="expression" dxfId="2" priority="3">
      <x:formula>$T2="Errore"</x:formula>
    </x:cfRule>
    <x:cfRule type="expression" dxfId="3" priority="4">
      <x:formula>$V2="SÌ"</x:formula>
    </x:cfRule>
  </x:conditionalFormatting>
  <x:conditionalFormatting sqref="H2:H239">
    <x:cfRule type="containsText" dxfId="4" priority="5" operator="containsText" text="Instagram"/>
    <x:cfRule type="containsText" dxfId="5" priority="6" operator="containsText" text="Facebook"/>
    <x:cfRule type="containsText" dxfId="6" priority="7" operator="containsText" text="TikTok"/>
  </x:conditionalFormatting>
  <x:dataValidations count="1">
    <x:dataValidation type="list" sqref="T2:T239">
      <x:formula1>"Da fare,Programmato,Pubblicato,Errore"</x:formula1>
    </x:dataValidation>
  </x:dataValidations>
  <x:pageMargins left="0.7" right="0.7" top="0.75" bottom="0.75" header="0.3" footer="0.3"/>
  <x:tableParts count="1">
    <x:tablePart xmlns:r="http://schemas.openxmlformats.org/officeDocument/2006/relationships" r:id="Rd2b468457e9e4db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4" hidden="0" customWidth="1"/>
    <x:col min="2" max="2" width="22" hidden="0" customWidth="1"/>
    <x:col min="3" max="3" width="11" hidden="0" customWidth="1"/>
    <x:col min="4" max="4" width="24" hidden="0" customWidth="1"/>
    <x:col min="5" max="5" width="50" hidden="0" customWidth="1"/>
    <x:col min="6" max="6" width="50" hidden="0" customWidth="1"/>
    <x:col min="7" max="7" width="44" hidden="0" customWidth="1"/>
    <x:col min="8" max="8" width="42" hidden="0" customWidth="1"/>
    <x:col min="9" max="9" width="42" hidden="0" customWidth="1"/>
    <x:col min="10" max="10" width="34" hidden="0" customWidth="1"/>
    <x:col min="11" max="11" width="30" hidden="0" customWidth="1"/>
    <x:col min="12" max="12" width="30" hidden="0" customWidth="1"/>
    <x:col min="13" max="13" width="45" hidden="0" customWidth="1"/>
    <x:col min="14" max="14" width="34" hidden="0" customWidth="1"/>
  </x:cols>
  <x:sheetData>
    <x:row r="1">
      <x:c r="A1" s="79" t="str">
        <x:v>Chiave</x:v>
      </x:c>
      <x:c r="B1" s="79" t="str">
        <x:v>Libro</x:v>
      </x:c>
      <x:c r="C1" s="79" t="str">
        <x:v>Contenuto</x:v>
      </x:c>
      <x:c r="D1" s="79" t="str">
        <x:v>Titolo</x:v>
      </x:c>
      <x:c r="E1" s="79" t="str">
        <x:v>Caption Instagram</x:v>
      </x:c>
      <x:c r="F1" s="79" t="str">
        <x:v>Caption Facebook</x:v>
      </x:c>
      <x:c r="G1" s="79" t="str">
        <x:v>Caption TikTok</x:v>
      </x:c>
      <x:c r="H1" s="79" t="str">
        <x:v>Link Storia Instagram</x:v>
      </x:c>
      <x:c r="I1" s="79" t="str">
        <x:v>Link Storia Facebook</x:v>
      </x:c>
      <x:c r="J1" s="79" t="str">
        <x:v>Pagina libro</x:v>
      </x:c>
      <x:c r="K1" s="79" t="str">
        <x:v>Amazon cartaceo</x:v>
      </x:c>
      <x:c r="L1" s="79" t="str">
        <x:v>Amazon Kindle</x:v>
      </x:c>
      <x:c r="M1" s="79" t="str">
        <x:v>File caption originale</x:v>
      </x:c>
      <x:c r="N1" s="79" t="str">
        <x:v>CTA Storia</x:v>
      </x:c>
    </x:row>
    <x:row r="2" ht="110" customHeight="1">
      <x:c r="A2" s="80" t="str">
        <x:v>NF_TRAILER</x:v>
      </x:c>
      <x:c r="B2" s="80" t="str">
        <x:v>Notti Fugaci</x:v>
      </x:c>
      <x:c r="C2" s="80" t="str">
        <x:v>TRAILER</x:v>
      </x:c>
      <x:c r="D2" s="80" t="str">
        <x:v>Notti Fugaci</x:v>
      </x:c>
      <x:c r="E2" s="80" t="str">
        <x:v>Ci sono notti che finiscono all'alba. Altre continuano a vivere sotto la pelle.
Notti Fugaci apre la collana Diari di Pelle: dieci incontri attraversati senza cercare assoluzioni, tra desiderio, memoria, città e libertà.
Il libro è disponibile in versione cartacea e Kindle. Scoprilo dal link nel profilo.
#DiariDiPelle #NottiFugaci #NarrativaItaliana #LibriDaLeggere #RaccontiContemporanei</x:v>
      </x:c>
      <x:c r="F2" s="80" t="str">
        <x:v>Ci sono notti che finiscono all'alba. Altre continuano a vivere sotto la pelle.
Notti Fugaci apre la collana Diari di Pelle: dieci incontri attraversati senza cercare assoluzioni, tra desiderio, memoria, città e libertà.
Il libro è disponibile in versione cartacea e Kindle. Scoprilo dal link nel profilo.
🌐 https://diaridipelle.it/notti-fugaci.html
📕 Cartaceo: https://www.amazon.it/dp/B0GRWP3X7C
📱 Kindle: https://www.amazon.it/dp/B0GRWP6PMK
#DiariDiPelle #NottiFugaci #NarrativaItaliana #LibriDaLeggere #RaccontiContemporanei</x:v>
      </x:c>
      <x:c r="G2" s="80" t="str">
        <x:v>Ci sono notti che finiscono all'alba. Altre continuano a vivere sotto la pelle.
«Notti Fugaci» da Notti Fugaci.
Scopri il libro dal link in bio.
#DiariDiPelle #NottiFugaci #BookTokItalia #LibriTikTok</x:v>
      </x:c>
      <x:c r="H2" s="80" t="str">
        <x:v>https://diaridipelle.it/notti-fugaci.html?utm_source=instagram&amp;utm_medium=story&amp;utm_campaign=notti_fugaci&amp;utm_content=trailer</x:v>
      </x:c>
      <x:c r="I2" s="80" t="str">
        <x:v>https://diaridipelle.it/notti-fugaci.html?utm_source=facebook&amp;utm_medium=story&amp;utm_campaign=notti_fugaci&amp;utm_content=trailer</x:v>
      </x:c>
      <x:c r="J2" s="80" t="str">
        <x:v>https://diaridipelle.it/notti-fugaci.html</x:v>
      </x:c>
      <x:c r="K2" s="80" t="str">
        <x:v>https://www.amazon.it/dp/B0GRWP3X7C</x:v>
      </x:c>
      <x:c r="L2" s="80" t="str">
        <x:v>https://www.amazon.it/dp/B0GRWP6PMK</x:v>
      </x:c>
      <x:c r="M2" s="80" t="str">
        <x:v>Notti_Fugaci_Social_Pack/05_CAPTIONS/TRAILER_caption.txt</x:v>
      </x:c>
      <x:c r="N2" s="80" t="str">
        <x:v>Tocca SCOPRI IL LIBRO e scegli cartaceo o Kindle.</x:v>
      </x:c>
    </x:row>
    <x:row r="3" ht="110" customHeight="1">
      <x:c r="A3" s="81" t="str">
        <x:v>NF_CH01</x:v>
      </x:c>
      <x:c r="B3" s="81" t="str">
        <x:v>Notti Fugaci</x:v>
      </x:c>
      <x:c r="C3" s="81" t="str">
        <x:v>CH01</x:v>
      </x:c>
      <x:c r="D3" s="81" t="str">
        <x:v>L'ora del crepuscolo</x:v>
      </x:c>
      <x:c r="E3" s="81" t="str">
        <x:v>Quante volte hai lasciato che un «non posso» decidesse al posto tuo?
Per anni il desiderio è rimasto dall'altra parte del vetro. Poi, in una notte di pioggia sopra i tetti di Montmartre, il tempo tra due respiri ha cambiato tutto.
«L'ora del crepuscolo» apre Notti Fugaci: dieci incontri, dieci modi diversi di cambiare pelle.
La storia completa è disponibile in versione cartacea e Kindle. Trovi il libro dal link nel profilo.
#DiariDiPelle #NottiFugaci #NarrativaItaliana #Montmartre #LibriDaLeggere</x:v>
      </x:c>
      <x:c r="F3" s="81" t="str">
        <x:v>Quante volte hai lasciato che un «non posso» decidesse al posto tuo?
Per anni il desiderio è rimasto dall'altra parte del vetro. Poi, in una notte di pioggia sopra i tetti di Montmartre, il tempo tra due respiri ha cambiato tutto.
«L'ora del crepuscolo» apre Notti Fugaci: dieci incontri, dieci modi diversi di cambiare pelle.
La storia completa è disponibile in versione cartacea e Kindle. Trovi il libro dal link nel profilo.
🌐 https://diaridipelle.it/notti-fugaci.html
📕 Cartaceo: https://www.amazon.it/dp/B0GRWP3X7C
📱 Kindle: https://www.amazon.it/dp/B0GRWP6PMK
#DiariDiPelle #NottiFugaci #NarrativaItaliana #Montmartre #LibriDaLeggere</x:v>
      </x:c>
      <x:c r="G3" s="81" t="str">
        <x:v>Quante volte hai lasciato che un «non posso» decidesse al posto tuo?
«L'ora del crepuscolo» da Notti Fugaci.
Scopri il libro dal link in bio.
#DiariDiPelle #NottiFugaci #BookTokItalia #LibriTikTok</x:v>
      </x:c>
      <x:c r="H3" s="81" t="str">
        <x:v>https://diaridipelle.it/notti-fugaci.html?utm_source=instagram&amp;utm_medium=story&amp;utm_campaign=notti_fugaci&amp;utm_content=ch01</x:v>
      </x:c>
      <x:c r="I3" s="81" t="str">
        <x:v>https://diaridipelle.it/notti-fugaci.html?utm_source=facebook&amp;utm_medium=story&amp;utm_campaign=notti_fugaci&amp;utm_content=ch01</x:v>
      </x:c>
      <x:c r="J3" s="81" t="str">
        <x:v>https://diaridipelle.it/notti-fugaci.html</x:v>
      </x:c>
      <x:c r="K3" s="81" t="str">
        <x:v>https://www.amazon.it/dp/B0GRWP3X7C</x:v>
      </x:c>
      <x:c r="L3" s="81" t="str">
        <x:v>https://www.amazon.it/dp/B0GRWP6PMK</x:v>
      </x:c>
      <x:c r="M3" s="81" t="str">
        <x:v>Notti_Fugaci_Social_Pack/05_CAPTIONS/CH01_caption.txt</x:v>
      </x:c>
      <x:c r="N3" s="81" t="str">
        <x:v>Tocca SCOPRI IL LIBRO e scegli cartaceo o Kindle.</x:v>
      </x:c>
    </x:row>
    <x:row r="4" ht="110" customHeight="1">
      <x:c r="A4" s="81" t="str">
        <x:v>NF_CH02</x:v>
      </x:c>
      <x:c r="B4" s="81" t="str">
        <x:v>Notti Fugaci</x:v>
      </x:c>
      <x:c r="C4" s="81" t="str">
        <x:v>CH02</x:v>
      </x:c>
      <x:c r="D4" s="81" t="str">
        <x:v>Amélie</x:v>
      </x:c>
      <x:c r="E4" s="81" t="str">
        <x:v>Parigi gli aveva dato una stanza, una pioggia leggera e una possibilità: smettere di trattenersi.
Con Amélie non ci furono promesse inutili. Solo il tempo tra due respiri, una carbonara all'alba e una porta attraversata per la prima volta.
Il secondo capitolo di Notti Fugaci racconta quando il corpo smette di essere una gabbia e diventa finalmente presenza.
Continua la storia dal link nel profilo. Disponibile in cartaceo e Kindle.
#DiariDiPelle #NottiFugaci #Parigi #NarrativaContemporanea #LibriItaliani</x:v>
      </x:c>
      <x:c r="F4" s="81" t="str">
        <x:v>Parigi gli aveva dato una stanza, una pioggia leggera e una possibilità: smettere di trattenersi.
Con Amélie non ci furono promesse inutili. Solo il tempo tra due respiri, una carbonara all'alba e una porta attraversata per la prima volta.
Il secondo capitolo di Notti Fugaci racconta quando il corpo smette di essere una gabbia e diventa finalmente presenza.
Continua la storia dal link nel profilo. Disponibile in cartaceo e Kindle.
🌐 https://diaridipelle.it/notti-fugaci.html
📕 Cartaceo: https://www.amazon.it/dp/B0GRWP3X7C
📱 Kindle: https://www.amazon.it/dp/B0GRWP6PMK
#DiariDiPelle #NottiFugaci #Parigi #NarrativaContemporanea #LibriItaliani</x:v>
      </x:c>
      <x:c r="G4" s="81" t="str">
        <x:v>Parigi gli aveva dato una stanza, una pioggia leggera e una possibilità: smettere di trattenersi.
«Amélie» da Notti Fugaci.
Scopri il libro dal link in bio.
#DiariDiPelle #NottiFugaci #BookTokItalia #LibriTikTok</x:v>
      </x:c>
      <x:c r="H4" s="81" t="str">
        <x:v>https://diaridipelle.it/notti-fugaci.html?utm_source=instagram&amp;utm_medium=story&amp;utm_campaign=notti_fugaci&amp;utm_content=ch02</x:v>
      </x:c>
      <x:c r="I4" s="81" t="str">
        <x:v>https://diaridipelle.it/notti-fugaci.html?utm_source=facebook&amp;utm_medium=story&amp;utm_campaign=notti_fugaci&amp;utm_content=ch02</x:v>
      </x:c>
      <x:c r="J4" s="81" t="str">
        <x:v>https://diaridipelle.it/notti-fugaci.html</x:v>
      </x:c>
      <x:c r="K4" s="81" t="str">
        <x:v>https://www.amazon.it/dp/B0GRWP3X7C</x:v>
      </x:c>
      <x:c r="L4" s="81" t="str">
        <x:v>https://www.amazon.it/dp/B0GRWP6PMK</x:v>
      </x:c>
      <x:c r="M4" s="81" t="str">
        <x:v>Notti_Fugaci_Social_Pack/05_CAPTIONS/CH02_caption.txt</x:v>
      </x:c>
      <x:c r="N4" s="81" t="str">
        <x:v>Tocca SCOPRI IL LIBRO e scegli cartaceo o Kindle.</x:v>
      </x:c>
    </x:row>
    <x:row r="5" ht="110" customHeight="1">
      <x:c r="A5" s="81" t="str">
        <x:v>NF_CH03</x:v>
      </x:c>
      <x:c r="B5" s="81" t="str">
        <x:v>Notti Fugaci</x:v>
      </x:c>
      <x:c r="C5" s="81" t="str">
        <x:v>CH03</x:v>
      </x:c>
      <x:c r="D5" s="81" t="str">
        <x:v>Malena</x:v>
      </x:c>
      <x:c r="E5" s="81" t="str">
        <x:v>Malena non fu la più importante. Fu la prima a lasciare una cicatrice vera.
A Parigi arrivò come una sfida: bellissima, distante, impossibile da ignorare. Ma alcune ossessioni non raccontano chi desideriamo. Raccontano la parte di noi che vuole bruciarsi.
Il terzo capitolo di Notti Fugaci parla della ferita che resta quando cade la storia che avevamo costruito su noi stessi.
Scopri il libro completo dal link nel profilo.
#DiariDiPelle #NottiFugaci #Cicatrici #NarrativaPsicologica #LibriDaLeggere</x:v>
      </x:c>
      <x:c r="F5" s="81" t="str">
        <x:v>Malena non fu la più importante. Fu la prima a lasciare una cicatrice vera.
A Parigi arrivò come una sfida: bellissima, distante, impossibile da ignorare. Ma alcune ossessioni non raccontano chi desideriamo. Raccontano la parte di noi che vuole bruciarsi.
Il terzo capitolo di Notti Fugaci parla della ferita che resta quando cade la storia che avevamo costruito su noi stessi.
Scopri il libro completo dal link nel profilo.
🌐 https://diaridipelle.it/notti-fugaci.html
📕 Cartaceo: https://www.amazon.it/dp/B0GRWP3X7C
📱 Kindle: https://www.amazon.it/dp/B0GRWP6PMK
#DiariDiPelle #NottiFugaci #Cicatrici #NarrativaPsicologica #LibriDaLeggere</x:v>
      </x:c>
      <x:c r="G5" s="81" t="str">
        <x:v>Malena non fu la più importante. Fu la prima a lasciare una cicatrice vera.
«Malena» da Notti Fugaci.
Scopri il libro dal link in bio.
#DiariDiPelle #NottiFugaci #BookTokItalia #LibriTikTok</x:v>
      </x:c>
      <x:c r="H5" s="81" t="str">
        <x:v>https://diaridipelle.it/notti-fugaci.html?utm_source=instagram&amp;utm_medium=story&amp;utm_campaign=notti_fugaci&amp;utm_content=ch03</x:v>
      </x:c>
      <x:c r="I5" s="81" t="str">
        <x:v>https://diaridipelle.it/notti-fugaci.html?utm_source=facebook&amp;utm_medium=story&amp;utm_campaign=notti_fugaci&amp;utm_content=ch03</x:v>
      </x:c>
      <x:c r="J5" s="81" t="str">
        <x:v>https://diaridipelle.it/notti-fugaci.html</x:v>
      </x:c>
      <x:c r="K5" s="81" t="str">
        <x:v>https://www.amazon.it/dp/B0GRWP3X7C</x:v>
      </x:c>
      <x:c r="L5" s="81" t="str">
        <x:v>https://www.amazon.it/dp/B0GRWP6PMK</x:v>
      </x:c>
      <x:c r="M5" s="81" t="str">
        <x:v>Notti_Fugaci_Social_Pack/05_CAPTIONS/CH03_caption.txt</x:v>
      </x:c>
      <x:c r="N5" s="81" t="str">
        <x:v>Tocca SCOPRI IL LIBRO e scegli cartaceo o Kindle.</x:v>
      </x:c>
    </x:row>
    <x:row r="6" ht="110" customHeight="1">
      <x:c r="A6" s="81" t="str">
        <x:v>NF_CH04</x:v>
      </x:c>
      <x:c r="B6" s="81" t="str">
        <x:v>Notti Fugaci</x:v>
      </x:c>
      <x:c r="C6" s="81" t="str">
        <x:v>CH04</x:v>
      </x:c>
      <x:c r="D6" s="81" t="str">
        <x:v>L'Irlandese</x:v>
      </x:c>
      <x:c r="E6" s="81" t="str">
        <x:v>Dopo Malena, Parigi si era ristretta. Barcellona, invece, sembrava non avere pareti.
Nel dedalo del Barrio Gótico, una sconosciuta e una notte senza tenerezza diventano uno specchio: non più il bravo ragazzo, non più il martire ferito, ma qualcuno che deve ancora capire chi è diventato.
«L'Irlandese» è il primo giorno di una settimana che non sarà turismo.
Entra nel mondo di Notti Fugaci dal link nel profilo.
#DiariDiPelle #NottiFugaci #Barcellona #NarrativaItaliana #StorieDiViaggio</x:v>
      </x:c>
      <x:c r="F6" s="81" t="str">
        <x:v>Dopo Malena, Parigi si era ristretta. Barcellona, invece, sembrava non avere pareti.
Nel dedalo del Barrio Gótico, una sconosciuta e una notte senza tenerezza diventano uno specchio: non più il bravo ragazzo, non più il martire ferito, ma qualcuno che deve ancora capire chi è diventato.
«L'Irlandese» è il primo giorno di una settimana che non sarà turismo.
Entra nel mondo di Notti Fugaci dal link nel profilo.
🌐 https://diaridipelle.it/notti-fugaci.html
📕 Cartaceo: https://www.amazon.it/dp/B0GRWP3X7C
📱 Kindle: https://www.amazon.it/dp/B0GRWP6PMK
#DiariDiPelle #NottiFugaci #Barcellona #NarrativaItaliana #StorieDiViaggio</x:v>
      </x:c>
      <x:c r="G6" s="81" t="str">
        <x:v>Dopo Malena, Parigi si era ristretta. Barcellona, invece, sembrava non avere pareti.
«L'Irlandese» da Notti Fugaci.
Scopri il libro dal link in bio.
#DiariDiPelle #NottiFugaci #BookTokItalia #LibriTikTok</x:v>
      </x:c>
      <x:c r="H6" s="81" t="str">
        <x:v>https://diaridipelle.it/notti-fugaci.html?utm_source=instagram&amp;utm_medium=story&amp;utm_campaign=notti_fugaci&amp;utm_content=ch04</x:v>
      </x:c>
      <x:c r="I6" s="81" t="str">
        <x:v>https://diaridipelle.it/notti-fugaci.html?utm_source=facebook&amp;utm_medium=story&amp;utm_campaign=notti_fugaci&amp;utm_content=ch04</x:v>
      </x:c>
      <x:c r="J6" s="81" t="str">
        <x:v>https://diaridipelle.it/notti-fugaci.html</x:v>
      </x:c>
      <x:c r="K6" s="81" t="str">
        <x:v>https://www.amazon.it/dp/B0GRWP3X7C</x:v>
      </x:c>
      <x:c r="L6" s="81" t="str">
        <x:v>https://www.amazon.it/dp/B0GRWP6PMK</x:v>
      </x:c>
      <x:c r="M6" s="81" t="str">
        <x:v>Notti_Fugaci_Social_Pack/05_CAPTIONS/CH04_caption.txt</x:v>
      </x:c>
      <x:c r="N6" s="81" t="str">
        <x:v>Tocca SCOPRI IL LIBRO e scegli cartaceo o Kindle.</x:v>
      </x:c>
    </x:row>
    <x:row r="7" ht="110" customHeight="1">
      <x:c r="A7" s="81" t="str">
        <x:v>NF_CH05</x:v>
      </x:c>
      <x:c r="B7" s="81" t="str">
        <x:v>Notti Fugaci</x:v>
      </x:c>
      <x:c r="C7" s="81" t="str">
        <x:v>CH05</x:v>
      </x:c>
      <x:c r="D7" s="81" t="str">
        <x:v>Tu vuò fa' l'American</x:v>
      </x:c>
      <x:c r="E7" s="81" t="str">
        <x:v>La Boqueria, il rumore dei bicchieri, un bagno chiuso dall'interno e una città che non chiede spiegazioni.
Nel secondo giorno a Barcellona tutto sembra accadere prima che qualcuno possa dargli un nome. Perché certe notti non hanno una destinazione: hanno soltanto una direzione.
«Tu vuò fa' l'American» è il quinto capitolo di Notti Fugaci.
Leggi la storia completa dal link nel profilo. Cartaceo e Kindle.
#DiariDiPelle #NottiFugaci #Barcellona #RaccontiContemporanei #LibriItaliani</x:v>
      </x:c>
      <x:c r="F7" s="81" t="str">
        <x:v>La Boqueria, il rumore dei bicchieri, un bagno chiuso dall'interno e una città che non chiede spiegazioni.
Nel secondo giorno a Barcellona tutto sembra accadere prima che qualcuno possa dargli un nome. Perché certe notti non hanno una destinazione: hanno soltanto una direzione.
«Tu vuò fa' l'American» è il quinto capitolo di Notti Fugaci.
Leggi la storia completa dal link nel profilo. Cartaceo e Kindle.
🌐 https://diaridipelle.it/notti-fugaci.html
📕 Cartaceo: https://www.amazon.it/dp/B0GRWP3X7C
📱 Kindle: https://www.amazon.it/dp/B0GRWP6PMK
#DiariDiPelle #NottiFugaci #Barcellona #RaccontiContemporanei #LibriItaliani</x:v>
      </x:c>
      <x:c r="G7" s="81" t="str">
        <x:v>La Boqueria, il rumore dei bicchieri, un bagno chiuso dall'interno e una città che non chiede spiegazioni.
«Tu vuò fa' l'American» da Notti Fugaci.
Scopri il libro dal link in bio.
#DiariDiPelle #NottiFugaci #BookTokItalia #LibriTikTok</x:v>
      </x:c>
      <x:c r="H7" s="81" t="str">
        <x:v>https://diaridipelle.it/notti-fugaci.html?utm_source=instagram&amp;utm_medium=story&amp;utm_campaign=notti_fugaci&amp;utm_content=ch05</x:v>
      </x:c>
      <x:c r="I7" s="81" t="str">
        <x:v>https://diaridipelle.it/notti-fugaci.html?utm_source=facebook&amp;utm_medium=story&amp;utm_campaign=notti_fugaci&amp;utm_content=ch05</x:v>
      </x:c>
      <x:c r="J7" s="81" t="str">
        <x:v>https://diaridipelle.it/notti-fugaci.html</x:v>
      </x:c>
      <x:c r="K7" s="81" t="str">
        <x:v>https://www.amazon.it/dp/B0GRWP3X7C</x:v>
      </x:c>
      <x:c r="L7" s="81" t="str">
        <x:v>https://www.amazon.it/dp/B0GRWP6PMK</x:v>
      </x:c>
      <x:c r="M7" s="81" t="str">
        <x:v>Notti_Fugaci_Social_Pack/05_CAPTIONS/CH05_caption.txt</x:v>
      </x:c>
      <x:c r="N7" s="81" t="str">
        <x:v>Tocca SCOPRI IL LIBRO e scegli cartaceo o Kindle.</x:v>
      </x:c>
    </x:row>
    <x:row r="8" ht="110" customHeight="1">
      <x:c r="A8" s="81" t="str">
        <x:v>NF_CH06</x:v>
      </x:c>
      <x:c r="B8" s="81" t="str">
        <x:v>Notti Fugaci</x:v>
      </x:c>
      <x:c r="C8" s="81" t="str">
        <x:v>CH06</x:v>
      </x:c>
      <x:c r="D8" s="81" t="str">
        <x:v>Helena</x:v>
      </x:c>
      <x:c r="E8" s="81" t="str">
        <x:v>Helena si era sposata troppo giovane. Cercava una prova: sapere che si può cambiare anche quando sembra tardi.
Tra il mare, il flamenco e una stanza bianca, un incontro diventa qualcosa di più di una notte. Non una promessa, ma il coraggio temporaneo di immaginarsi diversi.
Helena è il sesto capitolo di Notti Fugaci.
Scopri la collana e il libro completo dal link nel profilo.
#DiariDiPelle #NottiFugaci #Helena #NarrativaContemporanea #LibriDaLeggere</x:v>
      </x:c>
      <x:c r="F8" s="81" t="str">
        <x:v>Helena si era sposata troppo giovane. Cercava una prova: sapere che si può cambiare anche quando sembra tardi.
Tra il mare, il flamenco e una stanza bianca, un incontro diventa qualcosa di più di una notte. Non una promessa, ma il coraggio temporaneo di immaginarsi diversi.
Helena è il sesto capitolo di Notti Fugaci.
Scopri la collana e il libro completo dal link nel profilo.
🌐 https://diaridipelle.it/notti-fugaci.html
📕 Cartaceo: https://www.amazon.it/dp/B0GRWP3X7C
📱 Kindle: https://www.amazon.it/dp/B0GRWP6PMK
#DiariDiPelle #NottiFugaci #Helena #NarrativaContemporanea #LibriDaLeggere</x:v>
      </x:c>
      <x:c r="G8" s="81" t="str">
        <x:v>Helena si era sposata troppo giovane. Cercava una prova: sapere che si può cambiare anche quando sembra tardi.
«Helena» da Notti Fugaci.
Scopri il libro dal link in bio.
#DiariDiPelle #NottiFugaci #BookTokItalia #LibriTikTok</x:v>
      </x:c>
      <x:c r="H8" s="81" t="str">
        <x:v>https://diaridipelle.it/notti-fugaci.html?utm_source=instagram&amp;utm_medium=story&amp;utm_campaign=notti_fugaci&amp;utm_content=ch06</x:v>
      </x:c>
      <x:c r="I8" s="81" t="str">
        <x:v>https://diaridipelle.it/notti-fugaci.html?utm_source=facebook&amp;utm_medium=story&amp;utm_campaign=notti_fugaci&amp;utm_content=ch06</x:v>
      </x:c>
      <x:c r="J8" s="81" t="str">
        <x:v>https://diaridipelle.it/notti-fugaci.html</x:v>
      </x:c>
      <x:c r="K8" s="81" t="str">
        <x:v>https://www.amazon.it/dp/B0GRWP3X7C</x:v>
      </x:c>
      <x:c r="L8" s="81" t="str">
        <x:v>https://www.amazon.it/dp/B0GRWP6PMK</x:v>
      </x:c>
      <x:c r="M8" s="81" t="str">
        <x:v>Notti_Fugaci_Social_Pack/05_CAPTIONS/CH06_caption.txt</x:v>
      </x:c>
      <x:c r="N8" s="81" t="str">
        <x:v>Tocca SCOPRI IL LIBRO e scegli cartaceo o Kindle.</x:v>
      </x:c>
    </x:row>
    <x:row r="9" ht="110" customHeight="1">
      <x:c r="A9" s="81" t="str">
        <x:v>NF_CH07</x:v>
      </x:c>
      <x:c r="B9" s="81" t="str">
        <x:v>Notti Fugaci</x:v>
      </x:c>
      <x:c r="C9" s="81" t="str">
        <x:v>CH07</x:v>
      </x:c>
      <x:c r="D9" s="81" t="str">
        <x:v>Virginia</x:v>
      </x:c>
      <x:c r="E9" s="81" t="str">
        <x:v>Barcellona sembrava dire una cosa semplice: non andare dove il sentiero è già segnato.
Virginia arriva con lo sguardo verde, l'odore d'incenso e la sicurezza di chi non ha bisogno di promettere il giorno dopo. Una notte può essere completa anche quando non vuole diventare futuro.
Il settimo capitolo di Notti Fugaci è una traccia lasciata senza chiedere di essere seguita.
Continua dal link nel profilo.
#DiariDiPelle #NottiFugaci #Virginia #Barcellona #NarrativaItaliana</x:v>
      </x:c>
      <x:c r="F9" s="81" t="str">
        <x:v>Barcellona sembrava dire una cosa semplice: non andare dove il sentiero è già segnato.
Virginia arriva con lo sguardo verde, l'odore d'incenso e la sicurezza di chi non ha bisogno di promettere il giorno dopo. Una notte può essere completa anche quando non vuole diventare futuro.
Il settimo capitolo di Notti Fugaci è una traccia lasciata senza chiedere di essere seguita.
Continua dal link nel profilo.
🌐 https://diaridipelle.it/notti-fugaci.html
📕 Cartaceo: https://www.amazon.it/dp/B0GRWP3X7C
📱 Kindle: https://www.amazon.it/dp/B0GRWP6PMK
#DiariDiPelle #NottiFugaci #Virginia #Barcellona #NarrativaItaliana</x:v>
      </x:c>
      <x:c r="G9" s="81" t="str">
        <x:v>Barcellona sembrava dire una cosa semplice: non andare dove il sentiero è già segnato.
«Virginia» da Notti Fugaci.
Scopri il libro dal link in bio.
#DiariDiPelle #NottiFugaci #BookTokItalia #LibriTikTok</x:v>
      </x:c>
      <x:c r="H9" s="81" t="str">
        <x:v>https://diaridipelle.it/notti-fugaci.html?utm_source=instagram&amp;utm_medium=story&amp;utm_campaign=notti_fugaci&amp;utm_content=ch07</x:v>
      </x:c>
      <x:c r="I9" s="81" t="str">
        <x:v>https://diaridipelle.it/notti-fugaci.html?utm_source=facebook&amp;utm_medium=story&amp;utm_campaign=notti_fugaci&amp;utm_content=ch07</x:v>
      </x:c>
      <x:c r="J9" s="81" t="str">
        <x:v>https://diaridipelle.it/notti-fugaci.html</x:v>
      </x:c>
      <x:c r="K9" s="81" t="str">
        <x:v>https://www.amazon.it/dp/B0GRWP3X7C</x:v>
      </x:c>
      <x:c r="L9" s="81" t="str">
        <x:v>https://www.amazon.it/dp/B0GRWP6PMK</x:v>
      </x:c>
      <x:c r="M9" s="81" t="str">
        <x:v>Notti_Fugaci_Social_Pack/05_CAPTIONS/CH07_caption.txt</x:v>
      </x:c>
      <x:c r="N9" s="81" t="str">
        <x:v>Tocca SCOPRI IL LIBRO e scegli cartaceo o Kindle.</x:v>
      </x:c>
    </x:row>
    <x:row r="10" ht="110" customHeight="1">
      <x:c r="A10" s="81" t="str">
        <x:v>NF_CH08</x:v>
      </x:c>
      <x:c r="B10" s="81" t="str">
        <x:v>Notti Fugaci</x:v>
      </x:c>
      <x:c r="C10" s="81" t="str">
        <x:v>CH08</x:v>
      </x:c>
      <x:c r="D10" s="81" t="str">
        <x:v>Hope</x:v>
      </x:c>
      <x:c r="E10" s="81" t="str">
        <x:v>Hope aveva già capito tutto. Eppure bastò una bugia elegante per rimandare la verità di qualche ora.
Sotto la luna di Barcellona, desiderio e colpa si confondono fino a diventare la stessa cosa. Ma il corpo ricorda anche quello che le parole cercano di nascondere.
Hope è l'ottavo capitolo di Notti Fugaci: una notte intensa e il prezzo silenzioso delle scelte.
Trovi il libro completo dal link nel profilo.
#DiariDiPelle #NottiFugaci #Hope #NarrativaPsicologica #LibriItaliani</x:v>
      </x:c>
      <x:c r="F10" s="81" t="str">
        <x:v>Hope aveva già capito tutto. Eppure bastò una bugia elegante per rimandare la verità di qualche ora.
Sotto la luna di Barcellona, desiderio e colpa si confondono fino a diventare la stessa cosa. Ma il corpo ricorda anche quello che le parole cercano di nascondere.
Hope è l'ottavo capitolo di Notti Fugaci: una notte intensa e il prezzo silenzioso delle scelte.
Trovi il libro completo dal link nel profilo.
🌐 https://diaridipelle.it/notti-fugaci.html
📕 Cartaceo: https://www.amazon.it/dp/B0GRWP3X7C
📱 Kindle: https://www.amazon.it/dp/B0GRWP6PMK
#DiariDiPelle #NottiFugaci #Hope #NarrativaPsicologica #LibriItaliani</x:v>
      </x:c>
      <x:c r="G10" s="81" t="str">
        <x:v>Hope aveva già capito tutto. Eppure bastò una bugia elegante per rimandare la verità di qualche ora.
«Hope» da Notti Fugaci.
Scopri il libro dal link in bio.
#DiariDiPelle #NottiFugaci #BookTokItalia #LibriTikTok</x:v>
      </x:c>
      <x:c r="H10" s="81" t="str">
        <x:v>https://diaridipelle.it/notti-fugaci.html?utm_source=instagram&amp;utm_medium=story&amp;utm_campaign=notti_fugaci&amp;utm_content=ch08</x:v>
      </x:c>
      <x:c r="I10" s="81" t="str">
        <x:v>https://diaridipelle.it/notti-fugaci.html?utm_source=facebook&amp;utm_medium=story&amp;utm_campaign=notti_fugaci&amp;utm_content=ch08</x:v>
      </x:c>
      <x:c r="J10" s="81" t="str">
        <x:v>https://diaridipelle.it/notti-fugaci.html</x:v>
      </x:c>
      <x:c r="K10" s="81" t="str">
        <x:v>https://www.amazon.it/dp/B0GRWP3X7C</x:v>
      </x:c>
      <x:c r="L10" s="81" t="str">
        <x:v>https://www.amazon.it/dp/B0GRWP6PMK</x:v>
      </x:c>
      <x:c r="M10" s="81" t="str">
        <x:v>Notti_Fugaci_Social_Pack/05_CAPTIONS/CH08_caption.txt</x:v>
      </x:c>
      <x:c r="N10" s="81" t="str">
        <x:v>Tocca SCOPRI IL LIBRO e scegli cartaceo o Kindle.</x:v>
      </x:c>
    </x:row>
    <x:row r="11" ht="110" customHeight="1">
      <x:c r="A11" s="81" t="str">
        <x:v>NF_CH09</x:v>
      </x:c>
      <x:c r="B11" s="81" t="str">
        <x:v>Notti Fugaci</x:v>
      </x:c>
      <x:c r="C11" s="81" t="str">
        <x:v>CH09</x:v>
      </x:c>
      <x:c r="D11" s="81" t="str">
        <x:v>Loida</x:v>
      </x:c>
      <x:c r="E11" s="81" t="str">
        <x:v>Loida era il nodo rimasto aperto mentre tutto il resto accadeva.
Desiderarsi e trattenersi. Cercarsi e poi fuggire. Restare sospesi in quel mezzo che finisce per consumare entrambi.
Il nono capitolo di Notti Fugaci racconta un incontro tra due libertà che non riescono ancora a scegliere la stessa direzione.
Scopri la storia completa dal link nel profilo. Disponibile in cartaceo e Kindle.
#DiariDiPelle #NottiFugaci #Loida #Relazioni #NarrativaContemporanea</x:v>
      </x:c>
      <x:c r="F11" s="81" t="str">
        <x:v>Loida era il nodo rimasto aperto mentre tutto il resto accadeva.
Desiderarsi e trattenersi. Cercarsi e poi fuggire. Restare sospesi in quel mezzo che finisce per consumare entrambi.
Il nono capitolo di Notti Fugaci racconta un incontro tra due libertà che non riescono ancora a scegliere la stessa direzione.
Scopri la storia completa dal link nel profilo. Disponibile in cartaceo e Kindle.
🌐 https://diaridipelle.it/notti-fugaci.html
📕 Cartaceo: https://www.amazon.it/dp/B0GRWP3X7C
📱 Kindle: https://www.amazon.it/dp/B0GRWP6PMK
#DiariDiPelle #NottiFugaci #Loida #Relazioni #NarrativaContemporanea</x:v>
      </x:c>
      <x:c r="G11" s="81" t="str">
        <x:v>Loida era il nodo rimasto aperto mentre tutto il resto accadeva.
«Loida» da Notti Fugaci.
Scopri il libro dal link in bio.
#DiariDiPelle #NottiFugaci #BookTokItalia #LibriTikTok</x:v>
      </x:c>
      <x:c r="H11" s="81" t="str">
        <x:v>https://diaridipelle.it/notti-fugaci.html?utm_source=instagram&amp;utm_medium=story&amp;utm_campaign=notti_fugaci&amp;utm_content=ch09</x:v>
      </x:c>
      <x:c r="I11" s="81" t="str">
        <x:v>https://diaridipelle.it/notti-fugaci.html?utm_source=facebook&amp;utm_medium=story&amp;utm_campaign=notti_fugaci&amp;utm_content=ch09</x:v>
      </x:c>
      <x:c r="J11" s="81" t="str">
        <x:v>https://diaridipelle.it/notti-fugaci.html</x:v>
      </x:c>
      <x:c r="K11" s="81" t="str">
        <x:v>https://www.amazon.it/dp/B0GRWP3X7C</x:v>
      </x:c>
      <x:c r="L11" s="81" t="str">
        <x:v>https://www.amazon.it/dp/B0GRWP6PMK</x:v>
      </x:c>
      <x:c r="M11" s="81" t="str">
        <x:v>Notti_Fugaci_Social_Pack/05_CAPTIONS/CH09_caption.txt</x:v>
      </x:c>
      <x:c r="N11" s="81" t="str">
        <x:v>Tocca SCOPRI IL LIBRO e scegli cartaceo o Kindle.</x:v>
      </x:c>
    </x:row>
    <x:row r="12" ht="110" customHeight="1">
      <x:c r="A12" s="81" t="str">
        <x:v>NF_CH10</x:v>
      </x:c>
      <x:c r="B12" s="81" t="str">
        <x:v>Notti Fugaci</x:v>
      </x:c>
      <x:c r="C12" s="81" t="str">
        <x:v>CH10</x:v>
      </x:c>
      <x:c r="D12" s="81" t="str">
        <x:v>Florencia</x:v>
      </x:c>
      <x:c r="E12" s="81" t="str">
        <x:v>Florencia non è soltanto l'ultima notte. È il momento in cui il viaggio smette di essere una fuga e diventa memoria.
Non possediamo le persone, le città o il tempo. Possiamo soltanto attraversarli e accettare ciò che lasciano sulla pelle.
Il decimo capitolo chiude Notti Fugaci, ma apre il mondo di Diari di Pelle: altri legami, altri errori, altre verità che non possono più essere rimandate.
Inizia la collana dal link nel profilo.
#DiariDiPelle #NottiFugaci #Florencia #LibriDaLeggere #NarrativaItaliana</x:v>
      </x:c>
      <x:c r="F12" s="81" t="str">
        <x:v>Florencia non è soltanto l'ultima notte. È il momento in cui il viaggio smette di essere una fuga e diventa memoria.
Non possediamo le persone, le città o il tempo. Possiamo soltanto attraversarli e accettare ciò che lasciano sulla pelle.
Il decimo capitolo chiude Notti Fugaci, ma apre il mondo di Diari di Pelle: altri legami, altri errori, altre verità che non possono più essere rimandate.
Inizia la collana dal link nel profilo.
🌐 https://diaridipelle.it/notti-fugaci.html
📕 Cartaceo: https://www.amazon.it/dp/B0GRWP3X7C
📱 Kindle: https://www.amazon.it/dp/B0GRWP6PMK
#DiariDiPelle #NottiFugaci #Florencia #LibriDaLeggere #NarrativaItaliana</x:v>
      </x:c>
      <x:c r="G12" s="81" t="str">
        <x:v>Florencia non è soltanto l'ultima notte. È il momento in cui il viaggio smette di essere una fuga e diventa memoria.
«Florencia» da Notti Fugaci.
Scopri il libro dal link in bio.
#DiariDiPelle #NottiFugaci #BookTokItalia #LibriTikTok</x:v>
      </x:c>
      <x:c r="H12" s="81" t="str">
        <x:v>https://diaridipelle.it/notti-fugaci.html?utm_source=instagram&amp;utm_medium=story&amp;utm_campaign=notti_fugaci&amp;utm_content=ch10</x:v>
      </x:c>
      <x:c r="I12" s="81" t="str">
        <x:v>https://diaridipelle.it/notti-fugaci.html?utm_source=facebook&amp;utm_medium=story&amp;utm_campaign=notti_fugaci&amp;utm_content=ch10</x:v>
      </x:c>
      <x:c r="J12" s="81" t="str">
        <x:v>https://diaridipelle.it/notti-fugaci.html</x:v>
      </x:c>
      <x:c r="K12" s="81" t="str">
        <x:v>https://www.amazon.it/dp/B0GRWP3X7C</x:v>
      </x:c>
      <x:c r="L12" s="81" t="str">
        <x:v>https://www.amazon.it/dp/B0GRWP6PMK</x:v>
      </x:c>
      <x:c r="M12" s="81" t="str">
        <x:v>Notti_Fugaci_Social_Pack/05_CAPTIONS/CH10_caption.txt</x:v>
      </x:c>
      <x:c r="N12" s="81" t="str">
        <x:v>Tocca SCOPRI IL LIBRO e scegli cartaceo o Kindle.</x:v>
      </x:c>
    </x:row>
    <x:row r="13" ht="110" customHeight="1">
      <x:c r="A13" s="81" t="str">
        <x:v>IS_TRAILER</x:v>
      </x:c>
      <x:c r="B13" s="81" t="str">
        <x:v>Intrecci Sbagliati</x:v>
      </x:c>
      <x:c r="C13" s="81" t="str">
        <x:v>TRAILER</x:v>
      </x:c>
      <x:c r="D13" s="81" t="str">
        <x:v>Intrecci Sbagliati</x:v>
      </x:c>
      <x:c r="E13" s="81" t="str">
        <x:v>Una notte non basta più. Ne vuoi un'altra, e un'altra ancora, finché ogni incontro comincia a produrre conseguenze.
Intrecci Sbagliati è il secondo volume di Diari di Pelle: dieci storie di desiderio, memoria, dipendenza e legami che continuano a parlare anche quando sembrano finiti.
Disponibile in versione cartacea e Kindle. Scoprilo dal link nel profilo.
#DiariDiPelle #IntrecciSbagliati #NarrativaItaliana #NarrativaPsicologica #LibriDaLeggere</x:v>
      </x:c>
      <x:c r="F13" s="81" t="str">
        <x:v>Una notte non basta più. Ne vuoi un'altra, e un'altra ancora, finché ogni incontro comincia a produrre conseguenze.
Intrecci Sbagliati è il secondo volume di Diari di Pelle: dieci storie di desiderio, memoria, dipendenza e legami che continuano a parlare anche quando sembrano finiti.
Disponibile in versione cartacea e Kindle. Scoprilo dal link nel profilo.
🌐 https://diaridipelle.it/intrecci-sbagliati.html
📕 Cartaceo: https://www.amazon.it/dp/B0GX27ZJ1L
📱 Kindle: https://www.amazon.it/dp/B0GX2JR3F6
#DiariDiPelle #IntrecciSbagliati #NarrativaItaliana #NarrativaPsicologica #LibriDaLeggere</x:v>
      </x:c>
      <x:c r="G13" s="81" t="str">
        <x:v>Una notte non basta più. Ne vuoi un'altra, e un'altra ancora, finché ogni incontro comincia a produrre conseguenze.
«Intrecci Sbagliati» da Intrecci Sbagliati.
Scopri il libro dal link in bio.
#DiariDiPelle #IntrecciSbagliati #BookTokItalia #LibriTikTok</x:v>
      </x:c>
      <x:c r="H13" s="81" t="str">
        <x:v>https://diaridipelle.it/intrecci-sbagliati.html?utm_source=instagram&amp;utm_medium=story&amp;utm_campaign=intrecci_sbagliati&amp;utm_content=trailer</x:v>
      </x:c>
      <x:c r="I13" s="81" t="str">
        <x:v>https://diaridipelle.it/intrecci-sbagliati.html?utm_source=facebook&amp;utm_medium=story&amp;utm_campaign=intrecci_sbagliati&amp;utm_content=trailer</x:v>
      </x:c>
      <x:c r="J13" s="81" t="str">
        <x:v>https://diaridipelle.it/intrecci-sbagliati.html</x:v>
      </x:c>
      <x:c r="K13" s="81" t="str">
        <x:v>https://www.amazon.it/dp/B0GX27ZJ1L</x:v>
      </x:c>
      <x:c r="L13" s="81" t="str">
        <x:v>https://www.amazon.it/dp/B0GX2JR3F6</x:v>
      </x:c>
      <x:c r="M13" s="81" t="str">
        <x:v>Intrecci_Sbagliati_Social_Pack/05_CAPTIONS/TRAILER_caption.txt</x:v>
      </x:c>
      <x:c r="N13" s="81" t="str">
        <x:v>Tocca SCOPRI IL LIBRO e scegli cartaceo o Kindle.</x:v>
      </x:c>
    </x:row>
    <x:row r="14" ht="110" customHeight="1">
      <x:c r="A14" s="81" t="str">
        <x:v>IS_CH01</x:v>
      </x:c>
      <x:c r="B14" s="81" t="str">
        <x:v>Intrecci Sbagliati</x:v>
      </x:c>
      <x:c r="C14" s="81" t="str">
        <x:v>CH01</x:v>
      </x:c>
      <x:c r="D14" s="81" t="str">
        <x:v>Héloïse</x:v>
      </x:c>
      <x:c r="E14" s="81" t="str">
        <x:v>Al ritorno da Barcellona, una busta infilata nella porta e un nome scritto più volte cambiano il ritmo della residenza.
Con Héloïse l'amicizia diventa desiderio, ma il punto più delicato non è il gioco: è scoprire di essere entrati in un copione senza averlo letto.
Il primo capitolo di Intrecci Sbagliati apre il momento in cui le notti smettono di essere soltanto fugaci e iniziano ad avere conseguenze.
Scopri il libro dal link nel profilo.
#DiariDiPelle #IntrecciSbagliati #Héloïse #Relazioni #NarrativaContemporanea</x:v>
      </x:c>
      <x:c r="F14" s="81" t="str">
        <x:v>Al ritorno da Barcellona, una busta infilata nella porta e un nome scritto più volte cambiano il ritmo della residenza.
Con Héloïse l'amicizia diventa desiderio, ma il punto più delicato non è il gioco: è scoprire di essere entrati in un copione senza averlo letto.
Il primo capitolo di Intrecci Sbagliati apre il momento in cui le notti smettono di essere soltanto fugaci e iniziano ad avere conseguenze.
Scopri il libro dal link nel profilo.
🌐 https://diaridipelle.it/intrecci-sbagliati.html
📕 Cartaceo: https://www.amazon.it/dp/B0GX27ZJ1L
📱 Kindle: https://www.amazon.it/dp/B0GX2JR3F6
#DiariDiPelle #IntrecciSbagliati #Héloïse #Relazioni #NarrativaContemporanea</x:v>
      </x:c>
      <x:c r="G14" s="81" t="str">
        <x:v>Al ritorno da Barcellona, una busta infilata nella porta e un nome scritto più volte cambiano il ritmo della residenza.
«Héloïse» da Intrecci Sbagliati.
Scopri il libro dal link in bio.
#DiariDiPelle #IntrecciSbagliati #BookTokItalia #LibriTikTok</x:v>
      </x:c>
      <x:c r="H14" s="81" t="str">
        <x:v>https://diaridipelle.it/intrecci-sbagliati.html?utm_source=instagram&amp;utm_medium=story&amp;utm_campaign=intrecci_sbagliati&amp;utm_content=ch01</x:v>
      </x:c>
      <x:c r="I14" s="81" t="str">
        <x:v>https://diaridipelle.it/intrecci-sbagliati.html?utm_source=facebook&amp;utm_medium=story&amp;utm_campaign=intrecci_sbagliati&amp;utm_content=ch01</x:v>
      </x:c>
      <x:c r="J14" s="81" t="str">
        <x:v>https://diaridipelle.it/intrecci-sbagliati.html</x:v>
      </x:c>
      <x:c r="K14" s="81" t="str">
        <x:v>https://www.amazon.it/dp/B0GX27ZJ1L</x:v>
      </x:c>
      <x:c r="L14" s="81" t="str">
        <x:v>https://www.amazon.it/dp/B0GX2JR3F6</x:v>
      </x:c>
      <x:c r="M14" s="81" t="str">
        <x:v>Intrecci_Sbagliati_Social_Pack/05_CAPTIONS/CH01_caption.txt</x:v>
      </x:c>
      <x:c r="N14" s="81" t="str">
        <x:v>Tocca SCOPRI IL LIBRO e scegli cartaceo o Kindle.</x:v>
      </x:c>
    </x:row>
    <x:row r="15" ht="110" customHeight="1">
      <x:c r="A15" s="81" t="str">
        <x:v>IS_CH02</x:v>
      </x:c>
      <x:c r="B15" s="81" t="str">
        <x:v>Intrecci Sbagliati</x:v>
      </x:c>
      <x:c r="C15" s="81" t="str">
        <x:v>CH02</x:v>
      </x:c>
      <x:c r="D15" s="81" t="str">
        <x:v>Greta</x:v>
      </x:c>
      <x:c r="E15" s="81" t="str">
        <x:v>Greta sembrava trasformare ogni stanza nel proprio centro senza fare nulla per esserlo.
Tra Bretagna, Normandia e corridoi universitari, il desiderio diventa una marea: torna quando credi di essere al sicuro e fa male soprattutto a chi vorrebbe sentirsi unico.
Greta non è raccontata come una ferita, ma come un promemoria: alcune persone possono bruciare con te senza appartenerti.
Leggi Intrecci Sbagliati dal link nel profilo.
#DiariDiPelle #IntrecciSbagliati #Greta #Libertà #LibriItaliani</x:v>
      </x:c>
      <x:c r="F15" s="81" t="str">
        <x:v>Greta sembrava trasformare ogni stanza nel proprio centro senza fare nulla per esserlo.
Tra Bretagna, Normandia e corridoi universitari, il desiderio diventa una marea: torna quando credi di essere al sicuro e fa male soprattutto a chi vorrebbe sentirsi unico.
Greta non è raccontata come una ferita, ma come un promemoria: alcune persone possono bruciare con te senza appartenerti.
Leggi Intrecci Sbagliati dal link nel profilo.
🌐 https://diaridipelle.it/intrecci-sbagliati.html
📕 Cartaceo: https://www.amazon.it/dp/B0GX27ZJ1L
📱 Kindle: https://www.amazon.it/dp/B0GX2JR3F6
#DiariDiPelle #IntrecciSbagliati #Greta #Libertà #LibriItaliani</x:v>
      </x:c>
      <x:c r="G15" s="81" t="str">
        <x:v>Greta sembrava trasformare ogni stanza nel proprio centro senza fare nulla per esserlo.
«Greta» da Intrecci Sbagliati.
Scopri il libro dal link in bio.
#DiariDiPelle #IntrecciSbagliati #BookTokItalia #LibriTikTok</x:v>
      </x:c>
      <x:c r="H15" s="81" t="str">
        <x:v>https://diaridipelle.it/intrecci-sbagliati.html?utm_source=instagram&amp;utm_medium=story&amp;utm_campaign=intrecci_sbagliati&amp;utm_content=ch02</x:v>
      </x:c>
      <x:c r="I15" s="81" t="str">
        <x:v>https://diaridipelle.it/intrecci-sbagliati.html?utm_source=facebook&amp;utm_medium=story&amp;utm_campaign=intrecci_sbagliati&amp;utm_content=ch02</x:v>
      </x:c>
      <x:c r="J15" s="81" t="str">
        <x:v>https://diaridipelle.it/intrecci-sbagliati.html</x:v>
      </x:c>
      <x:c r="K15" s="81" t="str">
        <x:v>https://www.amazon.it/dp/B0GX27ZJ1L</x:v>
      </x:c>
      <x:c r="L15" s="81" t="str">
        <x:v>https://www.amazon.it/dp/B0GX2JR3F6</x:v>
      </x:c>
      <x:c r="M15" s="81" t="str">
        <x:v>Intrecci_Sbagliati_Social_Pack/05_CAPTIONS/CH02_caption.txt</x:v>
      </x:c>
      <x:c r="N15" s="81" t="str">
        <x:v>Tocca SCOPRI IL LIBRO e scegli cartaceo o Kindle.</x:v>
      </x:c>
    </x:row>
    <x:row r="16" ht="110" customHeight="1">
      <x:c r="A16" s="81" t="str">
        <x:v>IS_CH03</x:v>
      </x:c>
      <x:c r="B16" s="81" t="str">
        <x:v>Intrecci Sbagliati</x:v>
      </x:c>
      <x:c r="C16" s="81" t="str">
        <x:v>CH03</x:v>
      </x:c>
      <x:c r="D16" s="81" t="str">
        <x:v>Rossella</x:v>
      </x:c>
      <x:c r="E16" s="81" t="str">
        <x:v>L'orologio del Musée d'Orsay continua a girare mentre Rossella ha già deciso dove fermarsi.
Sessanta giorni, nessuna promessa di eternità e un ultimo addio sotto la pioggia. Alcune storie sono brevi, ma lasciano nella memoria una durata che il calendario non sa misurare.
Rossella è il terzo capitolo di Intrecci Sbagliati: il racconto di ciò che è stato giusto proprio perché non poteva durare.
Scopri il libro completo dal link nel profilo.
#DiariDiPelle #IntrecciSbagliati #MuséeDOrsay #Parigi #NarrativaItaliana</x:v>
      </x:c>
      <x:c r="F16" s="81" t="str">
        <x:v>L'orologio del Musée d'Orsay continua a girare mentre Rossella ha già deciso dove fermarsi.
Sessanta giorni, nessuna promessa di eternità e un ultimo addio sotto la pioggia. Alcune storie sono brevi, ma lasciano nella memoria una durata che il calendario non sa misurare.
Rossella è il terzo capitolo di Intrecci Sbagliati: il racconto di ciò che è stato giusto proprio perché non poteva durare.
Scopri il libro completo dal link nel profilo.
🌐 https://diaridipelle.it/intrecci-sbagliati.html
📕 Cartaceo: https://www.amazon.it/dp/B0GX27ZJ1L
📱 Kindle: https://www.amazon.it/dp/B0GX2JR3F6
#DiariDiPelle #IntrecciSbagliati #MuséeDOrsay #Parigi #NarrativaItaliana</x:v>
      </x:c>
      <x:c r="G16" s="81" t="str">
        <x:v>L'orologio del Musée d'Orsay continua a girare mentre Rossella ha già deciso dove fermarsi.
«Rossella» da Intrecci Sbagliati.
Scopri il libro dal link in bio.
#DiariDiPelle #IntrecciSbagliati #BookTokItalia #LibriTikTok</x:v>
      </x:c>
      <x:c r="H16" s="81" t="str">
        <x:v>https://diaridipelle.it/intrecci-sbagliati.html?utm_source=instagram&amp;utm_medium=story&amp;utm_campaign=intrecci_sbagliati&amp;utm_content=ch03</x:v>
      </x:c>
      <x:c r="I16" s="81" t="str">
        <x:v>https://diaridipelle.it/intrecci-sbagliati.html?utm_source=facebook&amp;utm_medium=story&amp;utm_campaign=intrecci_sbagliati&amp;utm_content=ch03</x:v>
      </x:c>
      <x:c r="J16" s="81" t="str">
        <x:v>https://diaridipelle.it/intrecci-sbagliati.html</x:v>
      </x:c>
      <x:c r="K16" s="81" t="str">
        <x:v>https://www.amazon.it/dp/B0GX27ZJ1L</x:v>
      </x:c>
      <x:c r="L16" s="81" t="str">
        <x:v>https://www.amazon.it/dp/B0GX2JR3F6</x:v>
      </x:c>
      <x:c r="M16" s="81" t="str">
        <x:v>Intrecci_Sbagliati_Social_Pack/05_CAPTIONS/CH03_caption.txt</x:v>
      </x:c>
      <x:c r="N16" s="81" t="str">
        <x:v>Tocca SCOPRI IL LIBRO e scegli cartaceo o Kindle.</x:v>
      </x:c>
    </x:row>
    <x:row r="17" ht="110" customHeight="1">
      <x:c r="A17" s="81" t="str">
        <x:v>IS_CH04</x:v>
      </x:c>
      <x:c r="B17" s="81" t="str">
        <x:v>Intrecci Sbagliati</x:v>
      </x:c>
      <x:c r="C17" s="81" t="str">
        <x:v>CH04</x:v>
      </x:c>
      <x:c r="D17" s="81" t="str">
        <x:v>Cansu</x:v>
      </x:c>
      <x:c r="E17" s="81" t="str">
        <x:v>Cansu non chiedeva attenzione. La selezionava.
Tra biblioteche, silenzi e un addio preciso come una firma, insegna che si può essere duri senza essere crudeli e vivere il desiderio senza perdere il controllo di sé.
Non tutte le storie finiscono bene o male. Alcune finiscono nel modo più coerente con chi le ha vissute.
Cansu è il quarto capitolo di Intrecci Sbagliati. Continua dal link nel profilo.
#DiariDiPelle #IntrecciSbagliati #Cansu #Parigi #NarrativaPsicologica</x:v>
      </x:c>
      <x:c r="F17" s="81" t="str">
        <x:v>Cansu non chiedeva attenzione. La selezionava.
Tra biblioteche, silenzi e un addio preciso come una firma, insegna che si può essere duri senza essere crudeli e vivere il desiderio senza perdere il controllo di sé.
Non tutte le storie finiscono bene o male. Alcune finiscono nel modo più coerente con chi le ha vissute.
Cansu è il quarto capitolo di Intrecci Sbagliati. Continua dal link nel profilo.
🌐 https://diaridipelle.it/intrecci-sbagliati.html
📕 Cartaceo: https://www.amazon.it/dp/B0GX27ZJ1L
📱 Kindle: https://www.amazon.it/dp/B0GX2JR3F6
#DiariDiPelle #IntrecciSbagliati #Cansu #Parigi #NarrativaPsicologica</x:v>
      </x:c>
      <x:c r="G17" s="81" t="str">
        <x:v>Cansu non chiedeva attenzione. La selezionava.
«Cansu» da Intrecci Sbagliati.
Scopri il libro dal link in bio.
#DiariDiPelle #IntrecciSbagliati #BookTokItalia #LibriTikTok</x:v>
      </x:c>
      <x:c r="H17" s="81" t="str">
        <x:v>https://diaridipelle.it/intrecci-sbagliati.html?utm_source=instagram&amp;utm_medium=story&amp;utm_campaign=intrecci_sbagliati&amp;utm_content=ch04</x:v>
      </x:c>
      <x:c r="I17" s="81" t="str">
        <x:v>https://diaridipelle.it/intrecci-sbagliati.html?utm_source=facebook&amp;utm_medium=story&amp;utm_campaign=intrecci_sbagliati&amp;utm_content=ch04</x:v>
      </x:c>
      <x:c r="J17" s="81" t="str">
        <x:v>https://diaridipelle.it/intrecci-sbagliati.html</x:v>
      </x:c>
      <x:c r="K17" s="81" t="str">
        <x:v>https://www.amazon.it/dp/B0GX27ZJ1L</x:v>
      </x:c>
      <x:c r="L17" s="81" t="str">
        <x:v>https://www.amazon.it/dp/B0GX2JR3F6</x:v>
      </x:c>
      <x:c r="M17" s="81" t="str">
        <x:v>Intrecci_Sbagliati_Social_Pack/05_CAPTIONS/CH04_caption.txt</x:v>
      </x:c>
      <x:c r="N17" s="81" t="str">
        <x:v>Tocca SCOPRI IL LIBRO e scegli cartaceo o Kindle.</x:v>
      </x:c>
    </x:row>
    <x:row r="18" ht="110" customHeight="1">
      <x:c r="A18" s="81" t="str">
        <x:v>IS_CH05</x:v>
      </x:c>
      <x:c r="B18" s="81" t="str">
        <x:v>Intrecci Sbagliati</x:v>
      </x:c>
      <x:c r="C18" s="81" t="str">
        <x:v>CH05</x:v>
      </x:c>
      <x:c r="D18" s="81" t="str">
        <x:v>Ella</x:v>
      </x:c>
      <x:c r="E18" s="81" t="str">
        <x:v>Parigi aveva insegnato la libertà delle notti fugaci. Poi arrivò Ella e rese insufficiente tutto il resto.
Con lei il desiderio attraversa un confine nuovo: fiducia, controllo, intimità e la sensazione che un corpo preciso possa diventare abitudine.
Quando il treno sta per partire, basta un messaggio per aprire un'altra possibilità.
Ella è il quinto capitolo di Intrecci Sbagliati. Scopri il libro dal link nel profilo.
#DiariDiPelle #IntrecciSbagliati #Ella #Desiderio #LibriDaLeggere</x:v>
      </x:c>
      <x:c r="F18" s="81" t="str">
        <x:v>Parigi aveva insegnato la libertà delle notti fugaci. Poi arrivò Ella e rese insufficiente tutto il resto.
Con lei il desiderio attraversa un confine nuovo: fiducia, controllo, intimità e la sensazione che un corpo preciso possa diventare abitudine.
Quando il treno sta per partire, basta un messaggio per aprire un'altra possibilità.
Ella è il quinto capitolo di Intrecci Sbagliati. Scopri il libro dal link nel profilo.
🌐 https://diaridipelle.it/intrecci-sbagliati.html
📕 Cartaceo: https://www.amazon.it/dp/B0GX27ZJ1L
📱 Kindle: https://www.amazon.it/dp/B0GX2JR3F6
#DiariDiPelle #IntrecciSbagliati #Ella #Desiderio #LibriDaLeggere</x:v>
      </x:c>
      <x:c r="G18" s="81" t="str">
        <x:v>Parigi aveva insegnato la libertà delle notti fugaci. Poi arrivò Ella e rese insufficiente tutto il resto.
«Ella» da Intrecci Sbagliati.
Scopri il libro dal link in bio.
#DiariDiPelle #IntrecciSbagliati #BookTokItalia #LibriTikTok</x:v>
      </x:c>
      <x:c r="H18" s="81" t="str">
        <x:v>https://diaridipelle.it/intrecci-sbagliati.html?utm_source=instagram&amp;utm_medium=story&amp;utm_campaign=intrecci_sbagliati&amp;utm_content=ch05</x:v>
      </x:c>
      <x:c r="I18" s="81" t="str">
        <x:v>https://diaridipelle.it/intrecci-sbagliati.html?utm_source=facebook&amp;utm_medium=story&amp;utm_campaign=intrecci_sbagliati&amp;utm_content=ch05</x:v>
      </x:c>
      <x:c r="J18" s="81" t="str">
        <x:v>https://diaridipelle.it/intrecci-sbagliati.html</x:v>
      </x:c>
      <x:c r="K18" s="81" t="str">
        <x:v>https://www.amazon.it/dp/B0GX27ZJ1L</x:v>
      </x:c>
      <x:c r="L18" s="81" t="str">
        <x:v>https://www.amazon.it/dp/B0GX2JR3F6</x:v>
      </x:c>
      <x:c r="M18" s="81" t="str">
        <x:v>Intrecci_Sbagliati_Social_Pack/05_CAPTIONS/CH05_caption.txt</x:v>
      </x:c>
      <x:c r="N18" s="81" t="str">
        <x:v>Tocca SCOPRI IL LIBRO e scegli cartaceo o Kindle.</x:v>
      </x:c>
    </x:row>
    <x:row r="19" ht="110" customHeight="1">
      <x:c r="A19" s="81" t="str">
        <x:v>IS_CH06</x:v>
      </x:c>
      <x:c r="B19" s="81" t="str">
        <x:v>Intrecci Sbagliati</x:v>
      </x:c>
      <x:c r="C19" s="81" t="str">
        <x:v>CH06</x:v>
      </x:c>
      <x:c r="D19" s="81" t="str">
        <x:v>Ancora Lei</x:v>
      </x:c>
      <x:c r="E19" s="81" t="str">
        <x:v>Ella era già sul treno, con le valigie e la vita pronta a ripartire. Poi lesse un messaggio e scese all'ultimo secondo.
Tre giorni possono contenere un amore, un vizio e una guerra. Possono creare promesse enormi e lasciare, sul marciapiede di una stazione, qualcuno che non è ancora capace di capire ciò che ha vissuto.
«Ancora Lei» continua il legame centrale di Intrecci Sbagliati.
Leggi la storia dal link nel profilo.
#DiariDiPelle #IntrecciSbagliati #AncoraLei #StorieDamore #NarrativaContemporanea</x:v>
      </x:c>
      <x:c r="F19" s="81" t="str">
        <x:v>Ella era già sul treno, con le valigie e la vita pronta a ripartire. Poi lesse un messaggio e scese all'ultimo secondo.
Tre giorni possono contenere un amore, un vizio e una guerra. Possono creare promesse enormi e lasciare, sul marciapiede di una stazione, qualcuno che non è ancora capace di capire ciò che ha vissuto.
«Ancora Lei» continua il legame centrale di Intrecci Sbagliati.
Leggi la storia dal link nel profilo.
🌐 https://diaridipelle.it/intrecci-sbagliati.html
📕 Cartaceo: https://www.amazon.it/dp/B0GX27ZJ1L
📱 Kindle: https://www.amazon.it/dp/B0GX2JR3F6
#DiariDiPelle #IntrecciSbagliati #AncoraLei #StorieDamore #NarrativaContemporanea</x:v>
      </x:c>
      <x:c r="G19" s="81" t="str">
        <x:v>Ella era già sul treno, con le valigie e la vita pronta a ripartire. Poi lesse un messaggio e scese all'ultimo secondo.
«Ancora Lei» da Intrecci Sbagliati.
Scopri il libro dal link in bio.
#DiariDiPelle #IntrecciSbagliati #BookTokItalia #LibriTikTok</x:v>
      </x:c>
      <x:c r="H19" s="81" t="str">
        <x:v>https://diaridipelle.it/intrecci-sbagliati.html?utm_source=instagram&amp;utm_medium=story&amp;utm_campaign=intrecci_sbagliati&amp;utm_content=ch06</x:v>
      </x:c>
      <x:c r="I19" s="81" t="str">
        <x:v>https://diaridipelle.it/intrecci-sbagliati.html?utm_source=facebook&amp;utm_medium=story&amp;utm_campaign=intrecci_sbagliati&amp;utm_content=ch06</x:v>
      </x:c>
      <x:c r="J19" s="81" t="str">
        <x:v>https://diaridipelle.it/intrecci-sbagliati.html</x:v>
      </x:c>
      <x:c r="K19" s="81" t="str">
        <x:v>https://www.amazon.it/dp/B0GX27ZJ1L</x:v>
      </x:c>
      <x:c r="L19" s="81" t="str">
        <x:v>https://www.amazon.it/dp/B0GX2JR3F6</x:v>
      </x:c>
      <x:c r="M19" s="81" t="str">
        <x:v>Intrecci_Sbagliati_Social_Pack/05_CAPTIONS/CH06_caption.txt</x:v>
      </x:c>
      <x:c r="N19" s="81" t="str">
        <x:v>Tocca SCOPRI IL LIBRO e scegli cartaceo o Kindle.</x:v>
      </x:c>
    </x:row>
    <x:row r="20" ht="110" customHeight="1">
      <x:c r="A20" s="81" t="str">
        <x:v>IS_CH07</x:v>
      </x:c>
      <x:c r="B20" s="81" t="str">
        <x:v>Intrecci Sbagliati</x:v>
      </x:c>
      <x:c r="C20" s="81" t="str">
        <x:v>CH07</x:v>
      </x:c>
      <x:c r="D20" s="81" t="str">
        <x:v>Isabella</x:v>
      </x:c>
      <x:c r="E20" s="81" t="str">
        <x:v>Tornare a Torino significa attraversare una frontiera senza cambiare Paese: gli stessi corridoi, ma una persona completamente diversa.
Isabella arriva durante un esame e porta entrambi fuori dal proprio ruolo. Il giorno dopo, davanti a un altro foglio, le formule non hanno più consistenza.
Ci sono notti che non ti fanno avanzare negli studi, ma ti fanno avanzare di anni dentro te stesso.
Scopri Intrecci Sbagliati dal link nel profilo.
#DiariDiPelle #IntrecciSbagliati #Isabella #Torino #RaccontiContemporanei</x:v>
      </x:c>
      <x:c r="F20" s="81" t="str">
        <x:v>Tornare a Torino significa attraversare una frontiera senza cambiare Paese: gli stessi corridoi, ma una persona completamente diversa.
Isabella arriva durante un esame e porta entrambi fuori dal proprio ruolo. Il giorno dopo, davanti a un altro foglio, le formule non hanno più consistenza.
Ci sono notti che non ti fanno avanzare negli studi, ma ti fanno avanzare di anni dentro te stesso.
Scopri Intrecci Sbagliati dal link nel profilo.
🌐 https://diaridipelle.it/intrecci-sbagliati.html
📕 Cartaceo: https://www.amazon.it/dp/B0GX27ZJ1L
📱 Kindle: https://www.amazon.it/dp/B0GX2JR3F6
#DiariDiPelle #IntrecciSbagliati #Isabella #Torino #RaccontiContemporanei</x:v>
      </x:c>
      <x:c r="G20" s="81" t="str">
        <x:v>Tornare a Torino significa attraversare una frontiera senza cambiare Paese: gli stessi corridoi, ma una persona completamente diversa.
«Isabella» da Intrecci Sbagliati.
Scopri il libro dal link in bio.
#DiariDiPelle #IntrecciSbagliati #BookTokItalia #LibriTikTok</x:v>
      </x:c>
      <x:c r="H20" s="81" t="str">
        <x:v>https://diaridipelle.it/intrecci-sbagliati.html?utm_source=instagram&amp;utm_medium=story&amp;utm_campaign=intrecci_sbagliati&amp;utm_content=ch07</x:v>
      </x:c>
      <x:c r="I20" s="81" t="str">
        <x:v>https://diaridipelle.it/intrecci-sbagliati.html?utm_source=facebook&amp;utm_medium=story&amp;utm_campaign=intrecci_sbagliati&amp;utm_content=ch07</x:v>
      </x:c>
      <x:c r="J20" s="81" t="str">
        <x:v>https://diaridipelle.it/intrecci-sbagliati.html</x:v>
      </x:c>
      <x:c r="K20" s="81" t="str">
        <x:v>https://www.amazon.it/dp/B0GX27ZJ1L</x:v>
      </x:c>
      <x:c r="L20" s="81" t="str">
        <x:v>https://www.amazon.it/dp/B0GX2JR3F6</x:v>
      </x:c>
      <x:c r="M20" s="81" t="str">
        <x:v>Intrecci_Sbagliati_Social_Pack/05_CAPTIONS/CH07_caption.txt</x:v>
      </x:c>
      <x:c r="N20" s="81" t="str">
        <x:v>Tocca SCOPRI IL LIBRO e scegli cartaceo o Kindle.</x:v>
      </x:c>
    </x:row>
    <x:row r="21" ht="110" customHeight="1">
      <x:c r="A21" s="81" t="str">
        <x:v>IS_CH08</x:v>
      </x:c>
      <x:c r="B21" s="81" t="str">
        <x:v>Intrecci Sbagliati</x:v>
      </x:c>
      <x:c r="C21" s="81" t="str">
        <x:v>CH08</x:v>
      </x:c>
      <x:c r="D21" s="81" t="str">
        <x:v>Promesse mantenute</x:v>
      </x:c>
      <x:c r="E21" s="81" t="str">
        <x:v>Ella attraversa mezza Europa per raggiungerlo in Puglia.
Quello che doveva essere un ritorno, una festa e una rivincita diventa qualcosa di molto più scomodo: la prova che non sta più cercando soltanto notti e numeri. Un corpo preciso è diventato struttura, abitudine, mancanza.
«Promesse mantenute» è l'ottavo capitolo di Intrecci Sbagliati.
Continua la storia completa dal link nel profilo.
#DiariDiPelle #IntrecciSbagliati #Puglia #PromesseMantenute #LibriItaliani</x:v>
      </x:c>
      <x:c r="F21" s="81" t="str">
        <x:v>Ella attraversa mezza Europa per raggiungerlo in Puglia.
Quello che doveva essere un ritorno, una festa e una rivincita diventa qualcosa di molto più scomodo: la prova che non sta più cercando soltanto notti e numeri. Un corpo preciso è diventato struttura, abitudine, mancanza.
«Promesse mantenute» è l'ottavo capitolo di Intrecci Sbagliati.
Continua la storia completa dal link nel profilo.
🌐 https://diaridipelle.it/intrecci-sbagliati.html
📕 Cartaceo: https://www.amazon.it/dp/B0GX27ZJ1L
📱 Kindle: https://www.amazon.it/dp/B0GX2JR3F6
#DiariDiPelle #IntrecciSbagliati #Puglia #PromesseMantenute #LibriItaliani</x:v>
      </x:c>
      <x:c r="G21" s="81" t="str">
        <x:v>Ella attraversa mezza Europa per raggiungerlo in Puglia.
«Promesse mantenute» da Intrecci Sbagliati.
Scopri il libro dal link in bio.
#DiariDiPelle #IntrecciSbagliati #BookTokItalia #LibriTikTok</x:v>
      </x:c>
      <x:c r="H21" s="81" t="str">
        <x:v>https://diaridipelle.it/intrecci-sbagliati.html?utm_source=instagram&amp;utm_medium=story&amp;utm_campaign=intrecci_sbagliati&amp;utm_content=ch08</x:v>
      </x:c>
      <x:c r="I21" s="81" t="str">
        <x:v>https://diaridipelle.it/intrecci-sbagliati.html?utm_source=facebook&amp;utm_medium=story&amp;utm_campaign=intrecci_sbagliati&amp;utm_content=ch08</x:v>
      </x:c>
      <x:c r="J21" s="81" t="str">
        <x:v>https://diaridipelle.it/intrecci-sbagliati.html</x:v>
      </x:c>
      <x:c r="K21" s="81" t="str">
        <x:v>https://www.amazon.it/dp/B0GX27ZJ1L</x:v>
      </x:c>
      <x:c r="L21" s="81" t="str">
        <x:v>https://www.amazon.it/dp/B0GX2JR3F6</x:v>
      </x:c>
      <x:c r="M21" s="81" t="str">
        <x:v>Intrecci_Sbagliati_Social_Pack/05_CAPTIONS/CH08_caption.txt</x:v>
      </x:c>
      <x:c r="N21" s="81" t="str">
        <x:v>Tocca SCOPRI IL LIBRO e scegli cartaceo o Kindle.</x:v>
      </x:c>
    </x:row>
    <x:row r="22" ht="110" customHeight="1">
      <x:c r="A22" s="81" t="str">
        <x:v>IS_CH09</x:v>
      </x:c>
      <x:c r="B22" s="81" t="str">
        <x:v>Intrecci Sbagliati</x:v>
      </x:c>
      <x:c r="C22" s="81" t="str">
        <x:v>CH09</x:v>
      </x:c>
      <x:c r="D22" s="81" t="str">
        <x:v>Virginia</x:v>
      </x:c>
      <x:c r="E22" s="81" t="str">
        <x:v>La casa nuova sembra un castello, ma amplifica ogni litigio. Barcellona diventa di nuovo una fuga.
Virginia rappresenta carne, libertà e guerra; Ella ordine, promessa e distanza. Tenere entrambe le parti senza pagare un prezzo è impossibile.
Alcune notti riescono a salvarti nello stesso momento in cui rovinano qualcosa che credevi stabile.
Virginia è il nono capitolo di Intrecci Sbagliati. Scoprilo dal link nel profilo.
#DiariDiPelle #IntrecciSbagliati #Virginia #Barcellona #NarrativaPsicologica</x:v>
      </x:c>
      <x:c r="F22" s="81" t="str">
        <x:v>La casa nuova sembra un castello, ma amplifica ogni litigio. Barcellona diventa di nuovo una fuga.
Virginia rappresenta carne, libertà e guerra; Ella ordine, promessa e distanza. Tenere entrambe le parti senza pagare un prezzo è impossibile.
Alcune notti riescono a salvarti nello stesso momento in cui rovinano qualcosa che credevi stabile.
Virginia è il nono capitolo di Intrecci Sbagliati. Scoprilo dal link nel profilo.
🌐 https://diaridipelle.it/intrecci-sbagliati.html
📕 Cartaceo: https://www.amazon.it/dp/B0GX27ZJ1L
📱 Kindle: https://www.amazon.it/dp/B0GX2JR3F6
#DiariDiPelle #IntrecciSbagliati #Virginia #Barcellona #NarrativaPsicologica</x:v>
      </x:c>
      <x:c r="G22" s="81" t="str">
        <x:v>La casa nuova sembra un castello, ma amplifica ogni litigio. Barcellona diventa di nuovo una fuga.
«Virginia» da Intrecci Sbagliati.
Scopri il libro dal link in bio.
#DiariDiPelle #IntrecciSbagliati #BookTokItalia #LibriTikTok</x:v>
      </x:c>
      <x:c r="H22" s="81" t="str">
        <x:v>https://diaridipelle.it/intrecci-sbagliati.html?utm_source=instagram&amp;utm_medium=story&amp;utm_campaign=intrecci_sbagliati&amp;utm_content=ch09</x:v>
      </x:c>
      <x:c r="I22" s="81" t="str">
        <x:v>https://diaridipelle.it/intrecci-sbagliati.html?utm_source=facebook&amp;utm_medium=story&amp;utm_campaign=intrecci_sbagliati&amp;utm_content=ch09</x:v>
      </x:c>
      <x:c r="J22" s="81" t="str">
        <x:v>https://diaridipelle.it/intrecci-sbagliati.html</x:v>
      </x:c>
      <x:c r="K22" s="81" t="str">
        <x:v>https://www.amazon.it/dp/B0GX27ZJ1L</x:v>
      </x:c>
      <x:c r="L22" s="81" t="str">
        <x:v>https://www.amazon.it/dp/B0GX2JR3F6</x:v>
      </x:c>
      <x:c r="M22" s="81" t="str">
        <x:v>Intrecci_Sbagliati_Social_Pack/05_CAPTIONS/CH09_caption.txt</x:v>
      </x:c>
      <x:c r="N22" s="81" t="str">
        <x:v>Tocca SCOPRI IL LIBRO e scegli cartaceo o Kindle.</x:v>
      </x:c>
    </x:row>
    <x:row r="23" ht="110" customHeight="1">
      <x:c r="A23" s="81" t="str">
        <x:v>IS_CH10</x:v>
      </x:c>
      <x:c r="B23" s="81" t="str">
        <x:v>Intrecci Sbagliati</x:v>
      </x:c>
      <x:c r="C23" s="81" t="str">
        <x:v>CH10</x:v>
      </x:c>
      <x:c r="D23" s="81" t="str">
        <x:v>Legame</x:v>
      </x:c>
      <x:c r="E23" s="81" t="str">
        <x:v>Dopo Virginia non torna più leggero. Torna diviso.
Ella continua a scavare con la calma delle cose destinate a durare. È qui che una notte smette di essere soltanto un ricordo e diventa legame, responsabilità, eco.
Una notte può bruciare. Un intreccio continua nel modo in cui guardi gli altri e, soprattutto, te stesso.
«Legame» chiude Intrecci Sbagliati e prepara il passaggio successivo. Inizia dal link nel profilo.
#DiariDiPelle #IntrecciSbagliati #Legame #Relazioni #NarrativaItaliana</x:v>
      </x:c>
      <x:c r="F23" s="81" t="str">
        <x:v>Dopo Virginia non torna più leggero. Torna diviso.
Ella continua a scavare con la calma delle cose destinate a durare. È qui che una notte smette di essere soltanto un ricordo e diventa legame, responsabilità, eco.
Una notte può bruciare. Un intreccio continua nel modo in cui guardi gli altri e, soprattutto, te stesso.
«Legame» chiude Intrecci Sbagliati e prepara il passaggio successivo. Inizia dal link nel profilo.
🌐 https://diaridipelle.it/intrecci-sbagliati.html
📕 Cartaceo: https://www.amazon.it/dp/B0GX27ZJ1L
📱 Kindle: https://www.amazon.it/dp/B0GX2JR3F6
#DiariDiPelle #IntrecciSbagliati #Legame #Relazioni #NarrativaItaliana</x:v>
      </x:c>
      <x:c r="G23" s="81" t="str">
        <x:v>Dopo Virginia non torna più leggero. Torna diviso.
«Legame» da Intrecci Sbagliati.
Scopri il libro dal link in bio.
#DiariDiPelle #IntrecciSbagliati #BookTokItalia #LibriTikTok</x:v>
      </x:c>
      <x:c r="H23" s="81" t="str">
        <x:v>https://diaridipelle.it/intrecci-sbagliati.html?utm_source=instagram&amp;utm_medium=story&amp;utm_campaign=intrecci_sbagliati&amp;utm_content=ch10</x:v>
      </x:c>
      <x:c r="I23" s="81" t="str">
        <x:v>https://diaridipelle.it/intrecci-sbagliati.html?utm_source=facebook&amp;utm_medium=story&amp;utm_campaign=intrecci_sbagliati&amp;utm_content=ch10</x:v>
      </x:c>
      <x:c r="J23" s="81" t="str">
        <x:v>https://diaridipelle.it/intrecci-sbagliati.html</x:v>
      </x:c>
      <x:c r="K23" s="81" t="str">
        <x:v>https://www.amazon.it/dp/B0GX27ZJ1L</x:v>
      </x:c>
      <x:c r="L23" s="81" t="str">
        <x:v>https://www.amazon.it/dp/B0GX2JR3F6</x:v>
      </x:c>
      <x:c r="M23" s="81" t="str">
        <x:v>Intrecci_Sbagliati_Social_Pack/05_CAPTIONS/CH10_caption.txt</x:v>
      </x:c>
      <x:c r="N23" s="81" t="str">
        <x:v>Tocca SCOPRI IL LIBRO e scegli cartaceo o Kindle.</x:v>
      </x:c>
    </x:row>
    <x:row r="24" ht="110" customHeight="1">
      <x:c r="A24" s="81" t="str">
        <x:v>LG_TRAILER</x:v>
      </x:c>
      <x:c r="B24" s="81" t="str">
        <x:v>Legami</x:v>
      </x:c>
      <x:c r="C24" s="81" t="str">
        <x:v>TRAILER</x:v>
      </x:c>
      <x:c r="D24" s="81" t="str">
        <x:v>Legămi</x:v>
      </x:c>
      <x:c r="E24" s="81" t="str">
        <x:v>Il desiderio sembrava libertà. Poi ha iniziato a chiedere il conto.
Legămi è il terzo volume di Diari di Pelle e il più oscuro della collana: dieci capitoli costruiti attorno a oggetti che diventano simboli di controllo, dipendenza, colpa, ritorno e perdita.
Il collare. La benda. Il guinzaglio. Il nodo. Il morso. Le redini. La catena. La chiave. La safe word. La sospensione.
Scopri il libro dal link nel profilo.
🛒 Amazon: https://www.amazon.it/dp/B0GZJR8FSJ
#DiariDiPelle #Legami #NarrativaItaliana #NarrativaPsicologica #BookstagramItalia</x:v>
      </x:c>
      <x:c r="F24" s="81" t="str">
        <x:v>Il desiderio sembrava libertà. Poi ha iniziato a chiedere il conto.
Legămi è il terzo volume di Diari di Pelle e il più oscuro della collana: dieci capitoli costruiti attorno a oggetti che diventano simboli di controllo, dipendenza, colpa, ritorno e perdita.
Il collare. La benda. Il guinzaglio. Il nodo. Il morso. Le redini. La catena. La chiave. La safe word. La sospensione.
Scopri il libro dal link nel profilo.
🌐 https://diaridipelle.it/legami.html
🛒 Amazon: https://www.amazon.it/dp/B0GZJR8FSJ
#DiariDiPelle #Legami #NarrativaItaliana #NarrativaPsicologica #BookstagramItalia</x:v>
      </x:c>
      <x:c r="G24" s="81" t="str">
        <x:v>Il desiderio sembrava libertà. Poi ha iniziato a chiedere il conto.
«Legămi» da Legami.
Scopri il libro dal link in bio.
#DiariDiPelle #Legami #BookTokItalia #LibriTikTok</x:v>
      </x:c>
      <x:c r="H24" s="81" t="str">
        <x:v>https://diaridipelle.it/legami.html?utm_source=instagram&amp;utm_medium=story&amp;utm_campaign=legami&amp;utm_content=trailer</x:v>
      </x:c>
      <x:c r="I24" s="81" t="str">
        <x:v>https://diaridipelle.it/legami.html?utm_source=facebook&amp;utm_medium=story&amp;utm_campaign=legami&amp;utm_content=trailer</x:v>
      </x:c>
      <x:c r="J24" s="81" t="str">
        <x:v>https://diaridipelle.it/legami.html</x:v>
      </x:c>
      <x:c r="K24" s="81" t="str">
        <x:v>https://www.amazon.it/dp/B0GZJR8FSJ</x:v>
      </x:c>
      <x:c r="L24" s="81" t="str">
        <x:v>https://www.amazon.it/dp/B0GZJR8FSJ</x:v>
      </x:c>
      <x:c r="M24" s="81" t="str">
        <x:v>Legami_Social_Pack/05_CAPTIONS/TRAILER_caption.txt</x:v>
      </x:c>
      <x:c r="N24" s="81" t="str">
        <x:v>Tocca SCOPRI IL LIBRO e scegli cartaceo o Kindle.</x:v>
      </x:c>
    </x:row>
    <x:row r="25" ht="110" customHeight="1">
      <x:c r="A25" s="81" t="str">
        <x:v>LG_CH01</x:v>
      </x:c>
      <x:c r="B25" s="81" t="str">
        <x:v>Legami</x:v>
      </x:c>
      <x:c r="C25" s="81" t="str">
        <x:v>CH01</x:v>
      </x:c>
      <x:c r="D25" s="81" t="str">
        <x:v>Il Collare</x:v>
      </x:c>
      <x:c r="E25" s="81" t="str">
        <x:v>Alle Cinque Terre, il desiderio rallenta al ritmo di una sola parola: langsam.
Ella sembra affidarsi, ma trasforma la resa in una forma sottile di potere. Lui crede di guidarla e scopre che il vero collare non è fatto di pelle o metallo: è il bisogno di sentirsi necessario, scelto, abbastanza.
Il primo capitolo di Legămi racconta il punto in cui il controllo cambia direzione senza fare rumore.
Continua dal link nel profilo.
🛒 Amazon: https://www.amazon.it/dp/B0GZJR8FSJ
#DiariDiPelle #Legami #IlCollare #CinqueTerre #NarrativaContemporanea</x:v>
      </x:c>
      <x:c r="F25" s="81" t="str">
        <x:v>Alle Cinque Terre, il desiderio rallenta al ritmo di una sola parola: langsam.
Ella sembra affidarsi, ma trasforma la resa in una forma sottile di potere. Lui crede di guidarla e scopre che il vero collare non è fatto di pelle o metallo: è il bisogno di sentirsi necessario, scelto, abbastanza.
Il primo capitolo di Legămi racconta il punto in cui il controllo cambia direzione senza fare rumore.
Continua dal link nel profilo.
🌐 https://diaridipelle.it/legami.html
🛒 Amazon: https://www.amazon.it/dp/B0GZJR8FSJ
#DiariDiPelle #Legami #IlCollare #CinqueTerre #NarrativaContemporanea</x:v>
      </x:c>
      <x:c r="G25" s="81" t="str">
        <x:v>Alle Cinque Terre, il desiderio rallenta al ritmo di una sola parola: langsam.
«Il Collare» da Legami.
Scopri il libro dal link in bio.
#DiariDiPelle #Legami #BookTokItalia #LibriTikTok</x:v>
      </x:c>
      <x:c r="H25" s="81" t="str">
        <x:v>https://diaridipelle.it/legami.html?utm_source=instagram&amp;utm_medium=story&amp;utm_campaign=legami&amp;utm_content=ch01</x:v>
      </x:c>
      <x:c r="I25" s="81" t="str">
        <x:v>https://diaridipelle.it/legami.html?utm_source=facebook&amp;utm_medium=story&amp;utm_campaign=legami&amp;utm_content=ch01</x:v>
      </x:c>
      <x:c r="J25" s="81" t="str">
        <x:v>https://diaridipelle.it/legami.html</x:v>
      </x:c>
      <x:c r="K25" s="81" t="str">
        <x:v>https://www.amazon.it/dp/B0GZJR8FSJ</x:v>
      </x:c>
      <x:c r="L25" s="81" t="str">
        <x:v>https://www.amazon.it/dp/B0GZJR8FSJ</x:v>
      </x:c>
      <x:c r="M25" s="81" t="str">
        <x:v>Legami_Social_Pack/05_CAPTIONS/CH01_caption.txt</x:v>
      </x:c>
      <x:c r="N25" s="81" t="str">
        <x:v>Tocca SCOPRI IL LIBRO e scegli cartaceo o Kindle.</x:v>
      </x:c>
    </x:row>
    <x:row r="26" ht="110" customHeight="1">
      <x:c r="A26" s="81" t="str">
        <x:v>LG_CH02</x:v>
      </x:c>
      <x:c r="B26" s="81" t="str">
        <x:v>Legami</x:v>
      </x:c>
      <x:c r="C26" s="81" t="str">
        <x:v>CH02</x:v>
      </x:c>
      <x:c r="D26" s="81" t="str">
        <x:v>La Benda</x:v>
      </x:c>
      <x:c r="E26" s="81" t="str">
        <x:v>A Trier, Ella costruisce un compleanno perfetto: musica, eleganza, desiderio e una fiducia capace di sembrare assoluta.
La benda appartiene al gioco, ma la cecità è altrove. Accecato dalla bellezza di ciò che vive, lui sceglie di non vedere le piccole distanze e le crepe che stanno già prendendo forma.
La Benda è il secondo capitolo di Legămi: una notte perfetta osservata dalla luce sbagliata.
Scopri il libro dal link nel profilo.
🛒 Amazon: https://www.amazon.it/dp/B0GZJR8FSJ
#DiariDiPelle #Legami #LaBenda #Trier #NarrativaPsicologica</x:v>
      </x:c>
      <x:c r="F26" s="81" t="str">
        <x:v>A Trier, Ella costruisce un compleanno perfetto: musica, eleganza, desiderio e una fiducia capace di sembrare assoluta.
La benda appartiene al gioco, ma la cecità è altrove. Accecato dalla bellezza di ciò che vive, lui sceglie di non vedere le piccole distanze e le crepe che stanno già prendendo forma.
La Benda è il secondo capitolo di Legămi: una notte perfetta osservata dalla luce sbagliata.
Scopri il libro dal link nel profilo.
🌐 https://diaridipelle.it/legami.html
🛒 Amazon: https://www.amazon.it/dp/B0GZJR8FSJ
#DiariDiPelle #Legami #LaBenda #Trier #NarrativaPsicologica</x:v>
      </x:c>
      <x:c r="G26" s="81" t="str">
        <x:v>A Trier, Ella costruisce un compleanno perfetto: musica, eleganza, desiderio e una fiducia capace di sembrare assoluta.
«La Benda» da Legami.
Scopri il libro dal link in bio.
#DiariDiPelle #Legami #BookTokItalia #LibriTikTok</x:v>
      </x:c>
      <x:c r="H26" s="81" t="str">
        <x:v>https://diaridipelle.it/legami.html?utm_source=instagram&amp;utm_medium=story&amp;utm_campaign=legami&amp;utm_content=ch02</x:v>
      </x:c>
      <x:c r="I26" s="81" t="str">
        <x:v>https://diaridipelle.it/legami.html?utm_source=facebook&amp;utm_medium=story&amp;utm_campaign=legami&amp;utm_content=ch02</x:v>
      </x:c>
      <x:c r="J26" s="81" t="str">
        <x:v>https://diaridipelle.it/legami.html</x:v>
      </x:c>
      <x:c r="K26" s="81" t="str">
        <x:v>https://www.amazon.it/dp/B0GZJR8FSJ</x:v>
      </x:c>
      <x:c r="L26" s="81" t="str">
        <x:v>https://www.amazon.it/dp/B0GZJR8FSJ</x:v>
      </x:c>
      <x:c r="M26" s="81" t="str">
        <x:v>Legami_Social_Pack/05_CAPTIONS/CH02_caption.txt</x:v>
      </x:c>
      <x:c r="N26" s="81" t="str">
        <x:v>Tocca SCOPRI IL LIBRO e scegli cartaceo o Kindle.</x:v>
      </x:c>
    </x:row>
    <x:row r="27" ht="110" customHeight="1">
      <x:c r="A27" s="81" t="str">
        <x:v>LG_CH03</x:v>
      </x:c>
      <x:c r="B27" s="81" t="str">
        <x:v>Legami</x:v>
      </x:c>
      <x:c r="C27" s="81" t="str">
        <x:v>CH03</x:v>
      </x:c>
      <x:c r="D27" s="81" t="str">
        <x:v>Il Guinzaglio</x:v>
      </x:c>
      <x:c r="E27" s="81" t="str">
        <x:v>A Padova, Virginia ritorna mentre Ella continua a vivere in ogni fantasia.
Un bacio sul Piovego dovrebbe dimostrare che la libertà esiste ancora. Invece rivela una gabbia più profonda: qualunque donna venga desiderata passa ormai attraverso il filtro di un'altra.
Il Guinzaglio racconta quando un legame non impedisce agli altri corpi di esistere, ma li rende più colpevoli e più difficili da toccare.
Leggi Legămi dal link nel profilo.
🛒 Amazon: https://www.amazon.it/dp/B0GZJR8FSJ
#DiariDiPelle #Legami #IlGuinzaglio #Padova #DipendenzaAffettiva</x:v>
      </x:c>
      <x:c r="F27" s="81" t="str">
        <x:v>A Padova, Virginia ritorna mentre Ella continua a vivere in ogni fantasia.
Un bacio sul Piovego dovrebbe dimostrare che la libertà esiste ancora. Invece rivela una gabbia più profonda: qualunque donna venga desiderata passa ormai attraverso il filtro di un'altra.
Il Guinzaglio racconta quando un legame non impedisce agli altri corpi di esistere, ma li rende più colpevoli e più difficili da toccare.
Leggi Legămi dal link nel profilo.
🌐 https://diaridipelle.it/legami.html
🛒 Amazon: https://www.amazon.it/dp/B0GZJR8FSJ
#DiariDiPelle #Legami #IlGuinzaglio #Padova #DipendenzaAffettiva</x:v>
      </x:c>
      <x:c r="G27" s="81" t="str">
        <x:v>A Padova, Virginia ritorna mentre Ella continua a vivere in ogni fantasia.
«Il Guinzaglio» da Legami.
Scopri il libro dal link in bio.
#DiariDiPelle #Legami #BookTokItalia #LibriTikTok</x:v>
      </x:c>
      <x:c r="H27" s="81" t="str">
        <x:v>https://diaridipelle.it/legami.html?utm_source=instagram&amp;utm_medium=story&amp;utm_campaign=legami&amp;utm_content=ch03</x:v>
      </x:c>
      <x:c r="I27" s="81" t="str">
        <x:v>https://diaridipelle.it/legami.html?utm_source=facebook&amp;utm_medium=story&amp;utm_campaign=legami&amp;utm_content=ch03</x:v>
      </x:c>
      <x:c r="J27" s="81" t="str">
        <x:v>https://diaridipelle.it/legami.html</x:v>
      </x:c>
      <x:c r="K27" s="81" t="str">
        <x:v>https://www.amazon.it/dp/B0GZJR8FSJ</x:v>
      </x:c>
      <x:c r="L27" s="81" t="str">
        <x:v>https://www.amazon.it/dp/B0GZJR8FSJ</x:v>
      </x:c>
      <x:c r="M27" s="81" t="str">
        <x:v>Legami_Social_Pack/05_CAPTIONS/CH03_caption.txt</x:v>
      </x:c>
      <x:c r="N27" s="81" t="str">
        <x:v>Tocca SCOPRI IL LIBRO e scegli cartaceo o Kindle.</x:v>
      </x:c>
    </x:row>
    <x:row r="28" ht="110" customHeight="1">
      <x:c r="A28" s="81" t="str">
        <x:v>LG_CH04</x:v>
      </x:c>
      <x:c r="B28" s="81" t="str">
        <x:v>Legami</x:v>
      </x:c>
      <x:c r="C28" s="81" t="str">
        <x:v>CH04</x:v>
      </x:c>
      <x:c r="D28" s="81" t="str">
        <x:v>Il Nodo</x:v>
      </x:c>
      <x:c r="E28" s="81" t="str">
        <x:v>Ella chiede una pausa. Lui la trasforma in una fine e prova a riempire il vuoto con il ritorno di Héloïse.
Ma il corpo di un'altra persona non può diventare la vendetta contro chi è assente. Quando il dolore non viene riconosciuto, finisce per essere scaricato su chi non ne ha colpa.
Il Nodo è il capitolo più scomodo di Legămi: non cerca assoluzioni, ma responsabilità.
Continua dal link nel profilo.
🛒 Amazon: https://www.amazon.it/dp/B0GZJR8FSJ
#DiariDiPelle #Legami #IlNodo #Bologna #Relazioni</x:v>
      </x:c>
      <x:c r="F28" s="81" t="str">
        <x:v>Ella chiede una pausa. Lui la trasforma in una fine e prova a riempire il vuoto con il ritorno di Héloïse.
Ma il corpo di un'altra persona non può diventare la vendetta contro chi è assente. Quando il dolore non viene riconosciuto, finisce per essere scaricato su chi non ne ha colpa.
Il Nodo è il capitolo più scomodo di Legămi: non cerca assoluzioni, ma responsabilità.
Continua dal link nel profilo.
🌐 https://diaridipelle.it/legami.html
🛒 Amazon: https://www.amazon.it/dp/B0GZJR8FSJ
#DiariDiPelle #Legami #IlNodo #Bologna #Relazioni</x:v>
      </x:c>
      <x:c r="G28" s="81" t="str">
        <x:v>Ella chiede una pausa. Lui la trasforma in una fine e prova a riempire il vuoto con il ritorno di Héloïse.
«Il Nodo» da Legami.
Scopri il libro dal link in bio.
#DiariDiPelle #Legami #BookTokItalia #LibriTikTok</x:v>
      </x:c>
      <x:c r="H28" s="81" t="str">
        <x:v>https://diaridipelle.it/legami.html?utm_source=instagram&amp;utm_medium=story&amp;utm_campaign=legami&amp;utm_content=ch04</x:v>
      </x:c>
      <x:c r="I28" s="81" t="str">
        <x:v>https://diaridipelle.it/legami.html?utm_source=facebook&amp;utm_medium=story&amp;utm_campaign=legami&amp;utm_content=ch04</x:v>
      </x:c>
      <x:c r="J28" s="81" t="str">
        <x:v>https://diaridipelle.it/legami.html</x:v>
      </x:c>
      <x:c r="K28" s="81" t="str">
        <x:v>https://www.amazon.it/dp/B0GZJR8FSJ</x:v>
      </x:c>
      <x:c r="L28" s="81" t="str">
        <x:v>https://www.amazon.it/dp/B0GZJR8FSJ</x:v>
      </x:c>
      <x:c r="M28" s="81" t="str">
        <x:v>Legami_Social_Pack/05_CAPTIONS/CH04_caption.txt</x:v>
      </x:c>
      <x:c r="N28" s="81" t="str">
        <x:v>Tocca SCOPRI IL LIBRO e scegli cartaceo o Kindle.</x:v>
      </x:c>
    </x:row>
    <x:row r="29" ht="110" customHeight="1">
      <x:c r="A29" s="81" t="str">
        <x:v>LG_CH05</x:v>
      </x:c>
      <x:c r="B29" s="81" t="str">
        <x:v>Legami</x:v>
      </x:c>
      <x:c r="C29" s="81" t="str">
        <x:v>CH05</x:v>
      </x:c>
      <x:c r="D29" s="81" t="str">
        <x:v>Il Morso</x:v>
      </x:c>
      <x:c r="E29" s="81" t="str">
        <x:v>Bologna, luglio. Una cena, il vino, una donna arrivata da Chicago e una notte troppo intensa per diventare abitudine.
Joy entra come una fame rapida e luminosa. Solo dopo arriva la verità: stava per sposarsi. Il ricordo cambia sapore e ciò che sembrava libertà diventa un ultimo segno lasciato sulla pelle.
Alcuni desideri sono troppo brevi per diventare casa e troppo veri per sparire.
Scopri Il Morso in Legămi dal link nel profilo.
🛒 Amazon: https://www.amazon.it/dp/B0GZJR8FSJ
#DiariDiPelle #Legami #IlMorso #Bologna #LibriDaLeggere</x:v>
      </x:c>
      <x:c r="F29" s="81" t="str">
        <x:v>Bologna, luglio. Una cena, il vino, una donna arrivata da Chicago e una notte troppo intensa per diventare abitudine.
Joy entra come una fame rapida e luminosa. Solo dopo arriva la verità: stava per sposarsi. Il ricordo cambia sapore e ciò che sembrava libertà diventa un ultimo segno lasciato sulla pelle.
Alcuni desideri sono troppo brevi per diventare casa e troppo veri per sparire.
Scopri Il Morso in Legămi dal link nel profilo.
🌐 https://diaridipelle.it/legami.html
🛒 Amazon: https://www.amazon.it/dp/B0GZJR8FSJ
#DiariDiPelle #Legami #IlMorso #Bologna #LibriDaLeggere</x:v>
      </x:c>
      <x:c r="G29" s="81" t="str">
        <x:v>Bologna, luglio. Una cena, il vino, una donna arrivata da Chicago e una notte troppo intensa per diventare abitudine.
«Il Morso» da Legami.
Scopri il libro dal link in bio.
#DiariDiPelle #Legami #BookTokItalia #LibriTikTok</x:v>
      </x:c>
      <x:c r="H29" s="81" t="str">
        <x:v>https://diaridipelle.it/legami.html?utm_source=instagram&amp;utm_medium=story&amp;utm_campaign=legami&amp;utm_content=ch05</x:v>
      </x:c>
      <x:c r="I29" s="81" t="str">
        <x:v>https://diaridipelle.it/legami.html?utm_source=facebook&amp;utm_medium=story&amp;utm_campaign=legami&amp;utm_content=ch05</x:v>
      </x:c>
      <x:c r="J29" s="81" t="str">
        <x:v>https://diaridipelle.it/legami.html</x:v>
      </x:c>
      <x:c r="K29" s="81" t="str">
        <x:v>https://www.amazon.it/dp/B0GZJR8FSJ</x:v>
      </x:c>
      <x:c r="L29" s="81" t="str">
        <x:v>https://www.amazon.it/dp/B0GZJR8FSJ</x:v>
      </x:c>
      <x:c r="M29" s="81" t="str">
        <x:v>Legami_Social_Pack/05_CAPTIONS/CH05_caption.txt</x:v>
      </x:c>
      <x:c r="N29" s="81" t="str">
        <x:v>Tocca SCOPRI IL LIBRO e scegli cartaceo o Kindle.</x:v>
      </x:c>
    </x:row>
    <x:row r="30" ht="110" customHeight="1">
      <x:c r="A30" s="81" t="str">
        <x:v>LG_CH06</x:v>
      </x:c>
      <x:c r="B30" s="81" t="str">
        <x:v>Legami</x:v>
      </x:c>
      <x:c r="C30" s="81" t="str">
        <x:v>CH06</x:v>
      </x:c>
      <x:c r="D30" s="81" t="str">
        <x:v>Le redini</x:v>
      </x:c>
      <x:c r="E30" s="81" t="str">
        <x:v>Tra salsa, gelosie e desiderio, Mariella vuole sentirsi finalmente scelta.
Per una notte le redini sembrano cambiare mano. Ma Roberto continua a occupare il centro anche quando non è nella stanza, e il comando si rivela un'illusione: non guida chi trattiene, ma chi l'altro decide ancora di seguire.
Le redini racconta la differenza tra possedere una scena e avere davvero un posto nella vita di qualcuno.
Leggi Legămi dal link nel profilo.
🛒 Amazon: https://www.amazon.it/dp/B0GZJR8FSJ
#DiariDiPelle #Legami #LeRedini #Salsa #NarrativaItaliana</x:v>
      </x:c>
      <x:c r="F30" s="81" t="str">
        <x:v>Tra salsa, gelosie e desiderio, Mariella vuole sentirsi finalmente scelta.
Per una notte le redini sembrano cambiare mano. Ma Roberto continua a occupare il centro anche quando non è nella stanza, e il comando si rivela un'illusione: non guida chi trattiene, ma chi l'altro decide ancora di seguire.
Le redini racconta la differenza tra possedere una scena e avere davvero un posto nella vita di qualcuno.
Leggi Legămi dal link nel profilo.
🌐 https://diaridipelle.it/legami.html
🛒 Amazon: https://www.amazon.it/dp/B0GZJR8FSJ
#DiariDiPelle #Legami #LeRedini #Salsa #NarrativaItaliana</x:v>
      </x:c>
      <x:c r="G30" s="81" t="str">
        <x:v>Tra salsa, gelosie e desiderio, Mariella vuole sentirsi finalmente scelta.
«Le redini» da Legami.
Scopri il libro dal link in bio.
#DiariDiPelle #Legami #BookTokItalia #LibriTikTok</x:v>
      </x:c>
      <x:c r="H30" s="81" t="str">
        <x:v>https://diaridipelle.it/legami.html?utm_source=instagram&amp;utm_medium=story&amp;utm_campaign=legami&amp;utm_content=ch06</x:v>
      </x:c>
      <x:c r="I30" s="81" t="str">
        <x:v>https://diaridipelle.it/legami.html?utm_source=facebook&amp;utm_medium=story&amp;utm_campaign=legami&amp;utm_content=ch06</x:v>
      </x:c>
      <x:c r="J30" s="81" t="str">
        <x:v>https://diaridipelle.it/legami.html</x:v>
      </x:c>
      <x:c r="K30" s="81" t="str">
        <x:v>https://www.amazon.it/dp/B0GZJR8FSJ</x:v>
      </x:c>
      <x:c r="L30" s="81" t="str">
        <x:v>https://www.amazon.it/dp/B0GZJR8FSJ</x:v>
      </x:c>
      <x:c r="M30" s="81" t="str">
        <x:v>Legami_Social_Pack/05_CAPTIONS/CH06_caption.txt</x:v>
      </x:c>
      <x:c r="N30" s="81" t="str">
        <x:v>Tocca SCOPRI IL LIBRO e scegli cartaceo o Kindle.</x:v>
      </x:c>
    </x:row>
    <x:row r="31" ht="110" customHeight="1">
      <x:c r="A31" s="81" t="str">
        <x:v>LG_CH07</x:v>
      </x:c>
      <x:c r="B31" s="81" t="str">
        <x:v>Legami</x:v>
      </x:c>
      <x:c r="C31" s="81" t="str">
        <x:v>CH07</x:v>
      </x:c>
      <x:c r="D31" s="81" t="str">
        <x:v>La catena</x:v>
      </x:c>
      <x:c r="E31" s="81" t="str">
        <x:v>Verona doveva essere una sorpresa romantica. Una stanza d'albergo trasforma invece il gioco in paura, corsa e vergogna.
Davanti all'Arena, una croce verde diventa il confine tra intimità e giudizio. Molto tempo dopo, quando Ella ritorna sotto casa, la catena mostra la sua vera forza: aveva continuato a tirare anche durante l'assenza.
La catena è il settimo capitolo di Legămi.
Scopri il libro dal link nel profilo.
🛒 Amazon: https://www.amazon.it/dp/B0GZJR8FSJ
#DiariDiPelle #Legami #LaCatena #Verona #NarrativaContemporanea</x:v>
      </x:c>
      <x:c r="F31" s="81" t="str">
        <x:v>Verona doveva essere una sorpresa romantica. Una stanza d'albergo trasforma invece il gioco in paura, corsa e vergogna.
Davanti all'Arena, una croce verde diventa il confine tra intimità e giudizio. Molto tempo dopo, quando Ella ritorna sotto casa, la catena mostra la sua vera forza: aveva continuato a tirare anche durante l'assenza.
La catena è il settimo capitolo di Legămi.
Scopri il libro dal link nel profilo.
🌐 https://diaridipelle.it/legami.html
🛒 Amazon: https://www.amazon.it/dp/B0GZJR8FSJ
#DiariDiPelle #Legami #LaCatena #Verona #NarrativaContemporanea</x:v>
      </x:c>
      <x:c r="G31" s="81" t="str">
        <x:v>Verona doveva essere una sorpresa romantica. Una stanza d'albergo trasforma invece il gioco in paura, corsa e vergogna.
«La catena» da Legami.
Scopri il libro dal link in bio.
#DiariDiPelle #Legami #BookTokItalia #LibriTikTok</x:v>
      </x:c>
      <x:c r="H31" s="81" t="str">
        <x:v>https://diaridipelle.it/legami.html?utm_source=instagram&amp;utm_medium=story&amp;utm_campaign=legami&amp;utm_content=ch07</x:v>
      </x:c>
      <x:c r="I31" s="81" t="str">
        <x:v>https://diaridipelle.it/legami.html?utm_source=facebook&amp;utm_medium=story&amp;utm_campaign=legami&amp;utm_content=ch07</x:v>
      </x:c>
      <x:c r="J31" s="81" t="str">
        <x:v>https://diaridipelle.it/legami.html</x:v>
      </x:c>
      <x:c r="K31" s="81" t="str">
        <x:v>https://www.amazon.it/dp/B0GZJR8FSJ</x:v>
      </x:c>
      <x:c r="L31" s="81" t="str">
        <x:v>https://www.amazon.it/dp/B0GZJR8FSJ</x:v>
      </x:c>
      <x:c r="M31" s="81" t="str">
        <x:v>Legami_Social_Pack/05_CAPTIONS/CH07_caption.txt</x:v>
      </x:c>
      <x:c r="N31" s="81" t="str">
        <x:v>Tocca SCOPRI IL LIBRO e scegli cartaceo o Kindle.</x:v>
      </x:c>
    </x:row>
    <x:row r="32" ht="110" customHeight="1">
      <x:c r="A32" s="81" t="str">
        <x:v>LG_CH08</x:v>
      </x:c>
      <x:c r="B32" s="81" t="str">
        <x:v>Legami</x:v>
      </x:c>
      <x:c r="C32" s="81" t="str">
        <x:v>CH08</x:v>
      </x:c>
      <x:c r="D32" s="81" t="str">
        <x:v>La chiave sbagliata</x:v>
      </x:c>
      <x:c r="E32" s="81" t="str">
        <x:v>Ella riceve una chiave di casa, ma Bologna non riesce a diventare davvero casa per lei.
In Puglia arriva Anna, una ragazza che sembra offrire una vita più semplice. Anche quella porta, però, conduce altrove: essere desiderati non significa essere scelti e talvolta si diventa soltanto lo strumento che riporta qualcuno verso un'altra persona.
La chiave sbagliata racconta tre legami persi nello stesso tentativo di trovare un rifugio.
Continua dal link nel profilo.
🛒 Amazon: https://www.amazon.it/dp/B0GZJR8FSJ
#DiariDiPelle #Legami #LaChiaveSbagliata #Puglia #NarrativaPsicologica</x:v>
      </x:c>
      <x:c r="F32" s="81" t="str">
        <x:v>Ella riceve una chiave di casa, ma Bologna non riesce a diventare davvero casa per lei.
In Puglia arriva Anna, una ragazza che sembra offrire una vita più semplice. Anche quella porta, però, conduce altrove: essere desiderati non significa essere scelti e talvolta si diventa soltanto lo strumento che riporta qualcuno verso un'altra persona.
La chiave sbagliata racconta tre legami persi nello stesso tentativo di trovare un rifugio.
Continua dal link nel profilo.
🌐 https://diaridipelle.it/legami.html
🛒 Amazon: https://www.amazon.it/dp/B0GZJR8FSJ
#DiariDiPelle #Legami #LaChiaveSbagliata #Puglia #NarrativaPsicologica</x:v>
      </x:c>
      <x:c r="G32" s="81" t="str">
        <x:v>Ella riceve una chiave di casa, ma Bologna non riesce a diventare davvero casa per lei.
«La chiave sbagliata» da Legami.
Scopri il libro dal link in bio.
#DiariDiPelle #Legami #BookTokItalia #LibriTikTok</x:v>
      </x:c>
      <x:c r="H32" s="81" t="str">
        <x:v>https://diaridipelle.it/legami.html?utm_source=instagram&amp;utm_medium=story&amp;utm_campaign=legami&amp;utm_content=ch08</x:v>
      </x:c>
      <x:c r="I32" s="81" t="str">
        <x:v>https://diaridipelle.it/legami.html?utm_source=facebook&amp;utm_medium=story&amp;utm_campaign=legami&amp;utm_content=ch08</x:v>
      </x:c>
      <x:c r="J32" s="81" t="str">
        <x:v>https://diaridipelle.it/legami.html</x:v>
      </x:c>
      <x:c r="K32" s="81" t="str">
        <x:v>https://www.amazon.it/dp/B0GZJR8FSJ</x:v>
      </x:c>
      <x:c r="L32" s="81" t="str">
        <x:v>https://www.amazon.it/dp/B0GZJR8FSJ</x:v>
      </x:c>
      <x:c r="M32" s="81" t="str">
        <x:v>Legami_Social_Pack/05_CAPTIONS/CH08_caption.txt</x:v>
      </x:c>
      <x:c r="N32" s="81" t="str">
        <x:v>Tocca SCOPRI IL LIBRO e scegli cartaceo o Kindle.</x:v>
      </x:c>
    </x:row>
    <x:row r="33" ht="110" customHeight="1">
      <x:c r="A33" s="81" t="str">
        <x:v>LG_CH09</x:v>
      </x:c>
      <x:c r="B33" s="81" t="str">
        <x:v>Legami</x:v>
      </x:c>
      <x:c r="C33" s="81" t="str">
        <x:v>CH09</x:v>
      </x:c>
      <x:c r="D33" s="81" t="str">
        <x:v>Safe Word</x:v>
      </x:c>
      <x:c r="E33" s="81" t="str">
        <x:v>A Bologna, Ella e il narratore trasformano i conflitti in una grammatica privata fatta di regole, confini e una parola di sicurezza.
Poi arriva Francoforte, Capodanno e una telefonata della madre. La parola che può interrompere il gioco non può fermare la malattia, il ritorno urgente e l'inizio del buio.
Safe Word è il punto in cui Legămi cambia definitivamente temperatura.
Scopri il libro dal link nel profilo.
🛒 Amazon: https://www.amazon.it/dp/B0GZJR8FSJ
#DiariDiPelle #Legami #SafeWord #Francoforte #RomanziItaliani</x:v>
      </x:c>
      <x:c r="F33" s="81" t="str">
        <x:v>A Bologna, Ella e il narratore trasformano i conflitti in una grammatica privata fatta di regole, confini e una parola di sicurezza.
Poi arriva Francoforte, Capodanno e una telefonata della madre. La parola che può interrompere il gioco non può fermare la malattia, il ritorno urgente e l'inizio del buio.
Safe Word è il punto in cui Legămi cambia definitivamente temperatura.
Scopri il libro dal link nel profilo.
🌐 https://diaridipelle.it/legami.html
🛒 Amazon: https://www.amazon.it/dp/B0GZJR8FSJ
#DiariDiPelle #Legami #SafeWord #Francoforte #RomanziItaliani</x:v>
      </x:c>
      <x:c r="G33" s="81" t="str">
        <x:v>A Bologna, Ella e il narratore trasformano i conflitti in una grammatica privata fatta di regole, confini e una parola di sicurezza.
«Safe Word» da Legami.
Scopri il libro dal link in bio.
#DiariDiPelle #Legami #BookTokItalia #LibriTikTok</x:v>
      </x:c>
      <x:c r="H33" s="81" t="str">
        <x:v>https://diaridipelle.it/legami.html?utm_source=instagram&amp;utm_medium=story&amp;utm_campaign=legami&amp;utm_content=ch09</x:v>
      </x:c>
      <x:c r="I33" s="81" t="str">
        <x:v>https://diaridipelle.it/legami.html?utm_source=facebook&amp;utm_medium=story&amp;utm_campaign=legami&amp;utm_content=ch09</x:v>
      </x:c>
      <x:c r="J33" s="81" t="str">
        <x:v>https://diaridipelle.it/legami.html</x:v>
      </x:c>
      <x:c r="K33" s="81" t="str">
        <x:v>https://www.amazon.it/dp/B0GZJR8FSJ</x:v>
      </x:c>
      <x:c r="L33" s="81" t="str">
        <x:v>https://www.amazon.it/dp/B0GZJR8FSJ</x:v>
      </x:c>
      <x:c r="M33" s="81" t="str">
        <x:v>Legami_Social_Pack/05_CAPTIONS/CH09_caption.txt</x:v>
      </x:c>
      <x:c r="N33" s="81" t="str">
        <x:v>Tocca SCOPRI IL LIBRO e scegli cartaceo o Kindle.</x:v>
      </x:c>
    </x:row>
    <x:row r="34" ht="110" customHeight="1">
      <x:c r="A34" s="81" t="str">
        <x:v>LG_CH10</x:v>
      </x:c>
      <x:c r="B34" s="81" t="str">
        <x:v>Legami</x:v>
      </x:c>
      <x:c r="C34" s="81" t="str">
        <x:v>CH10</x:v>
      </x:c>
      <x:c r="D34" s="81" t="str">
        <x:v>La sospensione</x:v>
      </x:c>
      <x:c r="E34" s="81" t="str">
        <x:v>Una telefonata interrompe Francoforte e riporta tutto verso la famiglia, la malattia di un padre e il tempo che si restringe.
Il corpo non è più soltanto desiderio: diventa fragilità, lutto, depressione e sopravvivenza. Tutti i simboli dei capitoli precedenti perdono eleganza davanti a un dolore che non può essere controllato.
La sospensione chiude Legămi senza una conclusione ordinata. La conseguenza diventa destino e la vita si spezza tra un prima e un dopo.
Leggi il terzo volume dal link nel profilo.
🛒 Amazon: https://www.amazon.it/dp/B0GZJR8FSJ
#DiariDiPelle #Legami #LaSospensione #Lutto #NarrativaItaliana</x:v>
      </x:c>
      <x:c r="F34" s="81" t="str">
        <x:v>Una telefonata interrompe Francoforte e riporta tutto verso la famiglia, la malattia di un padre e il tempo che si restringe.
Il corpo non è più soltanto desiderio: diventa fragilità, lutto, depressione e sopravvivenza. Tutti i simboli dei capitoli precedenti perdono eleganza davanti a un dolore che non può essere controllato.
La sospensione chiude Legămi senza una conclusione ordinata. La conseguenza diventa destino e la vita si spezza tra un prima e un dopo.
Leggi il terzo volume dal link nel profilo.
🌐 https://diaridipelle.it/legami.html
🛒 Amazon: https://www.amazon.it/dp/B0GZJR8FSJ
#DiariDiPelle #Legami #LaSospensione #Lutto #NarrativaItaliana</x:v>
      </x:c>
      <x:c r="G34" s="81" t="str">
        <x:v>Una telefonata interrompe Francoforte e riporta tutto verso la famiglia, la malattia di un padre e il tempo che si restringe.
«La sospensione» da Legami.
Scopri il libro dal link in bio.
#DiariDiPelle #Legami #BookTokItalia #LibriTikTok</x:v>
      </x:c>
      <x:c r="H34" s="81" t="str">
        <x:v>https://diaridipelle.it/legami.html?utm_source=instagram&amp;utm_medium=story&amp;utm_campaign=legami&amp;utm_content=ch10</x:v>
      </x:c>
      <x:c r="I34" s="81" t="str">
        <x:v>https://diaridipelle.it/legami.html?utm_source=facebook&amp;utm_medium=story&amp;utm_campaign=legami&amp;utm_content=ch10</x:v>
      </x:c>
      <x:c r="J34" s="81" t="str">
        <x:v>https://diaridipelle.it/legami.html</x:v>
      </x:c>
      <x:c r="K34" s="81" t="str">
        <x:v>https://www.amazon.it/dp/B0GZJR8FSJ</x:v>
      </x:c>
      <x:c r="L34" s="81" t="str">
        <x:v>https://www.amazon.it/dp/B0GZJR8FSJ</x:v>
      </x:c>
      <x:c r="M34" s="81" t="str">
        <x:v>Legami_Social_Pack/05_CAPTIONS/CH10_caption.txt</x:v>
      </x:c>
      <x:c r="N34" s="81" t="str">
        <x:v>Tocca SCOPRI IL LIBRO e scegli cartaceo o Kindle.</x:v>
      </x:c>
    </x:row>
    <x:row r="35" ht="110" customHeight="1">
      <x:c r="A35" s="82" t="str">
        <x:v>LG_EXTRA</x:v>
      </x:c>
      <x:c r="B35" s="82" t="str">
        <x:v>Legami</x:v>
      </x:c>
      <x:c r="C35" s="82" t="str">
        <x:v>EXTRA</x:v>
      </x:c>
      <x:c r="D35" s="82" t="str">
        <x:v>Il legame che torna</x:v>
      </x:c>
      <x:c r="E35" s="82" t="str">
        <x:v>Si può provare a cambiare città, corpo, ritmo e promessa. Ma certi legami continuano a tirare anche quando sembrano finiti.
Questo contenuto extra attraversa il cuore di Legămi: il bisogno di sentirsi scelti, la paura di essere sostituiti e il confine incerto tra una porta aperta e una casa vera.
Il terzo volume di Diari di Pelle è disponibile su Amazon.
Scoprilo dal link nel profilo.
🛒 Amazon: https://www.amazon.it/dp/B0GZJR8FSJ
#DiariDiPelle #Legami #BookReel #BookstagramItalia #NarrativaPsicologica</x:v>
      </x:c>
      <x:c r="F35" s="82" t="str">
        <x:v>Si può provare a cambiare città, corpo, ritmo e promessa. Ma certi legami continuano a tirare anche quando sembrano finiti.
Questo contenuto extra attraversa il cuore di Legămi: il bisogno di sentirsi scelti, la paura di essere sostituiti e il confine incerto tra una porta aperta e una casa vera.
Il terzo volume di Diari di Pelle è disponibile su Amazon.
Scoprilo dal link nel profilo.
🌐 https://diaridipelle.it/legami.html
🛒 Amazon: https://www.amazon.it/dp/B0GZJR8FSJ
#DiariDiPelle #Legami #BookReel #BookstagramItalia #NarrativaPsicologica</x:v>
      </x:c>
      <x:c r="G35" s="82" t="str">
        <x:v>Si può provare a cambiare città, corpo, ritmo e promessa. Ma certi legami continuano a tirare anche quando sembrano finiti.
«Il legame che torna» da Legami.
Scopri il libro dal link in bio.
#DiariDiPelle #Legami #BookTokItalia #LibriTikTok</x:v>
      </x:c>
      <x:c r="H35" s="82" t="str">
        <x:v>https://diaridipelle.it/legami.html?utm_source=instagram&amp;utm_medium=story&amp;utm_campaign=legami&amp;utm_content=extra</x:v>
      </x:c>
      <x:c r="I35" s="82" t="str">
        <x:v>https://diaridipelle.it/legami.html?utm_source=facebook&amp;utm_medium=story&amp;utm_campaign=legami&amp;utm_content=extra</x:v>
      </x:c>
      <x:c r="J35" s="82" t="str">
        <x:v>https://diaridipelle.it/legami.html</x:v>
      </x:c>
      <x:c r="K35" s="82" t="str">
        <x:v>https://www.amazon.it/dp/B0GZJR8FSJ</x:v>
      </x:c>
      <x:c r="L35" s="82" t="str">
        <x:v>https://www.amazon.it/dp/B0GZJR8FSJ</x:v>
      </x:c>
      <x:c r="M35" s="82" t="str">
        <x:v>Legami_Social_Pack/05_CAPTIONS/EXTRA_caption.txt</x:v>
      </x:c>
      <x:c r="N35" s="82" t="str">
        <x:v>Tocca SCOPRI IL LIBRO e scegli cartaceo o Kindle.</x:v>
      </x:c>
    </x:row>
  </x:sheetData>
  <x:pageMargins left="0.7" right="0.7" top="0.75" bottom="0.75" header="0.3" footer="0.3"/>
  <x:tableParts count="1">
    <x:tablePart xmlns:r="http://schemas.openxmlformats.org/officeDocument/2006/relationships" r:id="R802804290bdf4ae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7" hidden="0" customWidth="1"/>
    <x:col min="2" max="2" width="10" hidden="0" customWidth="1"/>
    <x:col min="3" max="3" width="7" hidden="0" customWidth="1"/>
    <x:col min="4" max="4" width="8" hidden="0" customWidth="1"/>
    <x:col min="5" max="5" width="11" hidden="0" customWidth="1"/>
    <x:col min="6" max="6" width="18" hidden="0" customWidth="1"/>
    <x:col min="7" max="7" width="18" hidden="0" customWidth="1"/>
    <x:col min="8" max="8" width="13" hidden="0" customWidth="1"/>
    <x:col min="9" max="9" width="13" hidden="0" customWidth="1"/>
    <x:col min="10" max="10" width="13" hidden="0" customWidth="1"/>
    <x:col min="11" max="11" width="23" hidden="0" customWidth="1"/>
    <x:col min="12" max="12" width="11" hidden="0" customWidth="1"/>
    <x:col min="13" max="13" width="25" hidden="0" customWidth="1"/>
    <x:col min="14" max="14" width="33" hidden="0" customWidth="1"/>
    <x:col min="15" max="15" width="45" hidden="0" customWidth="1"/>
    <x:col min="16" max="16" width="45" hidden="0" customWidth="1"/>
    <x:col min="17" max="17" width="45" hidden="0" customWidth="1"/>
    <x:col min="18" max="18" width="55" hidden="0" customWidth="1"/>
    <x:col min="19" max="19" width="45" hidden="0" customWidth="1"/>
    <x:col min="20" max="20" width="34" hidden="0" customWidth="1"/>
  </x:cols>
  <x:sheetData>
    <x:row r="1">
      <x:c r="A1" s="79" t="str">
        <x:v>N.</x:v>
      </x:c>
      <x:c r="B1" s="79" t="str">
        <x:v>Settimana</x:v>
      </x:c>
      <x:c r="C1" s="79" t="str">
        <x:v>Slot</x:v>
      </x:c>
      <x:c r="D1" s="79" t="str">
        <x:v>Blocco</x:v>
      </x:c>
      <x:c r="E1" s="79" t="str">
        <x:v>Offset Reel</x:v>
      </x:c>
      <x:c r="F1" s="79" t="str">
        <x:v>Data lavoro Meta/Instagram</x:v>
      </x:c>
      <x:c r="G1" s="79" t="str">
        <x:v>Data lavoro TikTok</x:v>
      </x:c>
      <x:c r="H1" s="79" t="str">
        <x:v>Data Reel</x:v>
      </x:c>
      <x:c r="I1" s="79" t="str">
        <x:v>Data Storia</x:v>
      </x:c>
      <x:c r="J1" s="79" t="str">
        <x:v>Data Carosello</x:v>
      </x:c>
      <x:c r="K1" s="79" t="str">
        <x:v>Libro</x:v>
      </x:c>
      <x:c r="L1" s="79" t="str">
        <x:v>Contenuto</x:v>
      </x:c>
      <x:c r="M1" s="79" t="str">
        <x:v>Titolo</x:v>
      </x:c>
      <x:c r="N1" s="79" t="str">
        <x:v>Pacchetto ZIP</x:v>
      </x:c>
      <x:c r="O1" s="79" t="str">
        <x:v>Video</x:v>
      </x:c>
      <x:c r="P1" s="79" t="str">
        <x:v>Copertina</x:v>
      </x:c>
      <x:c r="Q1" s="79" t="str">
        <x:v>Storia</x:v>
      </x:c>
      <x:c r="R1" s="79" t="str">
        <x:v>Caroselli 01–03</x:v>
      </x:c>
      <x:c r="S1" s="79" t="str">
        <x:v>Caption</x:v>
      </x:c>
      <x:c r="T1" s="79" t="str">
        <x:v>Pagina libro</x:v>
      </x:c>
    </x:row>
    <x:row r="2" ht="58" customHeight="1">
      <x:c r="A2" s="80" t="n">
        <x:v>1</x:v>
      </x:c>
      <x:c r="B2" s="80" t="n">
        <x:v>1</x:v>
      </x:c>
      <x:c r="C2" s="80" t="str">
        <x:v>A</x:v>
      </x:c>
      <x:c r="D2" s="80" t="n">
        <x:v>1</x:v>
      </x:c>
      <x:c r="E2" s="80" t="n">
        <x:v>0</x:v>
      </x:c>
      <x:c r="F2" s="89" t="n">
        <x:f>'CONFIG'!$B$8+(D2-1)*'CONFIG'!$B$14-'CONFIG'!$B$15</x:f>
        <x:v>46236</x:v>
      </x:c>
      <x:c r="G2" s="89" t="n">
        <x:f>'CONFIG'!$B$8+(B2-1)*7-'CONFIG'!$B$16</x:f>
        <x:v>46236</x:v>
      </x:c>
      <x:c r="H2" s="89" t="n">
        <x:f>'CONFIG'!$B$8+E2</x:f>
        <x:v>46238</x:v>
      </x:c>
      <x:c r="I2" s="89" t="n">
        <x:f>H2+1</x:f>
        <x:v>46239</x:v>
      </x:c>
      <x:c r="J2" s="89" t="n">
        <x:f>H2+2</x:f>
        <x:v>46240</x:v>
      </x:c>
      <x:c r="K2" s="80" t="str">
        <x:v>Notti Fugaci</x:v>
      </x:c>
      <x:c r="L2" s="80" t="str">
        <x:v>TRAILER</x:v>
      </x:c>
      <x:c r="M2" s="80" t="str">
        <x:v>Notti Fugaci</x:v>
      </x:c>
      <x:c r="N2" s="80" t="str">
        <x:v>Notti_Fugaci_Social_Pack.zip</x:v>
      </x:c>
      <x:c r="O2" s="80" t="str">
        <x:v>Notti_Fugaci_Social_Pack/01_REELS/TRAILER_reel.mp4</x:v>
      </x:c>
      <x:c r="P2" s="80" t="str">
        <x:v>Notti_Fugaci_Social_Pack/02_REEL_COVERS/TRAILER_cover.jpg</x:v>
      </x:c>
      <x:c r="Q2" s="80" t="str">
        <x:v>Notti_Fugaci_Social_Pack/04_STORIES/TRAILER_story.jpg</x:v>
      </x:c>
      <x:c r="R2" s="80" t="str">
        <x:v>Notti_Fugaci_Social_Pack/03_CAROUSELS/TRAILER/TRAILER_01.jpg
Notti_Fugaci_Social_Pack/03_CAROUSELS/TRAILER/TRAILER_02.jpg
Notti_Fugaci_Social_Pack/03_CAROUSELS/TRAILER/TRAILER_03.jpg</x:v>
      </x:c>
      <x:c r="S2" s="80" t="str">
        <x:v>Notti_Fugaci_Social_Pack/05_CAPTIONS/TRAILER_caption.txt</x:v>
      </x:c>
      <x:c r="T2" s="80" t="str">
        <x:v>https://diaridipelle.it/notti-fugaci.html</x:v>
      </x:c>
    </x:row>
    <x:row r="3" ht="58" customHeight="1">
      <x:c r="A3" s="81" t="n">
        <x:v>2</x:v>
      </x:c>
      <x:c r="B3" s="81" t="n">
        <x:v>1</x:v>
      </x:c>
      <x:c r="C3" s="81" t="str">
        <x:v>B</x:v>
      </x:c>
      <x:c r="D3" s="81" t="n">
        <x:v>1</x:v>
      </x:c>
      <x:c r="E3" s="81" t="n">
        <x:v>3</x:v>
      </x:c>
      <x:c r="F3" s="90" t="n">
        <x:f>'CONFIG'!$B$8+(D3-1)*'CONFIG'!$B$14-'CONFIG'!$B$15</x:f>
        <x:v>46236</x:v>
      </x:c>
      <x:c r="G3" s="90" t="n">
        <x:f>'CONFIG'!$B$8+(B3-1)*7-'CONFIG'!$B$16</x:f>
        <x:v>46236</x:v>
      </x:c>
      <x:c r="H3" s="90" t="n">
        <x:f>'CONFIG'!$B$8+E3</x:f>
        <x:v>46241</x:v>
      </x:c>
      <x:c r="I3" s="90" t="n">
        <x:f>H3+1</x:f>
        <x:v>46242</x:v>
      </x:c>
      <x:c r="J3" s="90" t="n">
        <x:f>H3+2</x:f>
        <x:v>46243</x:v>
      </x:c>
      <x:c r="K3" s="81" t="str">
        <x:v>Notti Fugaci</x:v>
      </x:c>
      <x:c r="L3" s="81" t="str">
        <x:v>CH01</x:v>
      </x:c>
      <x:c r="M3" s="81" t="str">
        <x:v>L'ora del crepuscolo</x:v>
      </x:c>
      <x:c r="N3" s="81" t="str">
        <x:v>Notti_Fugaci_Social_Pack.zip</x:v>
      </x:c>
      <x:c r="O3" s="81" t="str">
        <x:v>Notti_Fugaci_Social_Pack/01_REELS/CH01_reel.mp4</x:v>
      </x:c>
      <x:c r="P3" s="81" t="str">
        <x:v>Notti_Fugaci_Social_Pack/02_REEL_COVERS/CH01_cover.jpg</x:v>
      </x:c>
      <x:c r="Q3" s="81" t="str">
        <x:v>Notti_Fugaci_Social_Pack/04_STORIES/CH01_story.jpg</x:v>
      </x:c>
      <x:c r="R3" s="81" t="str">
        <x:v>Notti_Fugaci_Social_Pack/03_CAROUSELS/CH01/CH01_01.jpg
Notti_Fugaci_Social_Pack/03_CAROUSELS/CH01/CH01_02.jpg
Notti_Fugaci_Social_Pack/03_CAROUSELS/CH01/CH01_03.jpg</x:v>
      </x:c>
      <x:c r="S3" s="81" t="str">
        <x:v>Notti_Fugaci_Social_Pack/05_CAPTIONS/CH01_caption.txt</x:v>
      </x:c>
      <x:c r="T3" s="81" t="str">
        <x:v>https://diaridipelle.it/notti-fugaci.html</x:v>
      </x:c>
    </x:row>
    <x:row r="4" ht="58" customHeight="1">
      <x:c r="A4" s="81" t="n">
        <x:v>3</x:v>
      </x:c>
      <x:c r="B4" s="81" t="n">
        <x:v>2</x:v>
      </x:c>
      <x:c r="C4" s="81" t="str">
        <x:v>A</x:v>
      </x:c>
      <x:c r="D4" s="81" t="n">
        <x:v>1</x:v>
      </x:c>
      <x:c r="E4" s="81" t="n">
        <x:v>7</x:v>
      </x:c>
      <x:c r="F4" s="90" t="n">
        <x:f>'CONFIG'!$B$8+(D4-1)*'CONFIG'!$B$14-'CONFIG'!$B$15</x:f>
        <x:v>46236</x:v>
      </x:c>
      <x:c r="G4" s="90" t="n">
        <x:f>'CONFIG'!$B$8+(B4-1)*7-'CONFIG'!$B$16</x:f>
        <x:v>46243</x:v>
      </x:c>
      <x:c r="H4" s="90" t="n">
        <x:f>'CONFIG'!$B$8+E4</x:f>
        <x:v>46245</x:v>
      </x:c>
      <x:c r="I4" s="90" t="n">
        <x:f>H4+1</x:f>
        <x:v>46246</x:v>
      </x:c>
      <x:c r="J4" s="90" t="n">
        <x:f>H4+2</x:f>
        <x:v>46247</x:v>
      </x:c>
      <x:c r="K4" s="81" t="str">
        <x:v>Notti Fugaci</x:v>
      </x:c>
      <x:c r="L4" s="81" t="str">
        <x:v>CH02</x:v>
      </x:c>
      <x:c r="M4" s="81" t="str">
        <x:v>Amélie</x:v>
      </x:c>
      <x:c r="N4" s="81" t="str">
        <x:v>Notti_Fugaci_Social_Pack.zip</x:v>
      </x:c>
      <x:c r="O4" s="81" t="str">
        <x:v>Notti_Fugaci_Social_Pack/01_REELS/CH02_reel.mp4</x:v>
      </x:c>
      <x:c r="P4" s="81" t="str">
        <x:v>Notti_Fugaci_Social_Pack/02_REEL_COVERS/CH02_cover.jpg</x:v>
      </x:c>
      <x:c r="Q4" s="81" t="str">
        <x:v>Notti_Fugaci_Social_Pack/04_STORIES/CH02_story.jpg</x:v>
      </x:c>
      <x:c r="R4" s="81" t="str">
        <x:v>Notti_Fugaci_Social_Pack/03_CAROUSELS/CH02/CH02_01.jpg
Notti_Fugaci_Social_Pack/03_CAROUSELS/CH02/CH02_02.jpg
Notti_Fugaci_Social_Pack/03_CAROUSELS/CH02/CH02_03.jpg</x:v>
      </x:c>
      <x:c r="S4" s="81" t="str">
        <x:v>Notti_Fugaci_Social_Pack/05_CAPTIONS/CH02_caption.txt</x:v>
      </x:c>
      <x:c r="T4" s="81" t="str">
        <x:v>https://diaridipelle.it/notti-fugaci.html</x:v>
      </x:c>
    </x:row>
    <x:row r="5" ht="58" customHeight="1">
      <x:c r="A5" s="81" t="n">
        <x:v>4</x:v>
      </x:c>
      <x:c r="B5" s="81" t="n">
        <x:v>2</x:v>
      </x:c>
      <x:c r="C5" s="81" t="str">
        <x:v>B</x:v>
      </x:c>
      <x:c r="D5" s="81" t="n">
        <x:v>1</x:v>
      </x:c>
      <x:c r="E5" s="81" t="n">
        <x:v>10</x:v>
      </x:c>
      <x:c r="F5" s="90" t="n">
        <x:f>'CONFIG'!$B$8+(D5-1)*'CONFIG'!$B$14-'CONFIG'!$B$15</x:f>
        <x:v>46236</x:v>
      </x:c>
      <x:c r="G5" s="90" t="n">
        <x:f>'CONFIG'!$B$8+(B5-1)*7-'CONFIG'!$B$16</x:f>
        <x:v>46243</x:v>
      </x:c>
      <x:c r="H5" s="90" t="n">
        <x:f>'CONFIG'!$B$8+E5</x:f>
        <x:v>46248</x:v>
      </x:c>
      <x:c r="I5" s="90" t="n">
        <x:f>H5+1</x:f>
        <x:v>46249</x:v>
      </x:c>
      <x:c r="J5" s="90" t="n">
        <x:f>H5+2</x:f>
        <x:v>46250</x:v>
      </x:c>
      <x:c r="K5" s="81" t="str">
        <x:v>Notti Fugaci</x:v>
      </x:c>
      <x:c r="L5" s="81" t="str">
        <x:v>CH03</x:v>
      </x:c>
      <x:c r="M5" s="81" t="str">
        <x:v>Malena</x:v>
      </x:c>
      <x:c r="N5" s="81" t="str">
        <x:v>Notti_Fugaci_Social_Pack.zip</x:v>
      </x:c>
      <x:c r="O5" s="81" t="str">
        <x:v>Notti_Fugaci_Social_Pack/01_REELS/CH03_reel.mp4</x:v>
      </x:c>
      <x:c r="P5" s="81" t="str">
        <x:v>Notti_Fugaci_Social_Pack/02_REEL_COVERS/CH03_cover.jpg</x:v>
      </x:c>
      <x:c r="Q5" s="81" t="str">
        <x:v>Notti_Fugaci_Social_Pack/04_STORIES/CH03_story.jpg</x:v>
      </x:c>
      <x:c r="R5" s="81" t="str">
        <x:v>Notti_Fugaci_Social_Pack/03_CAROUSELS/CH03/CH03_01.jpg
Notti_Fugaci_Social_Pack/03_CAROUSELS/CH03/CH03_02.jpg
Notti_Fugaci_Social_Pack/03_CAROUSELS/CH03/CH03_03.jpg</x:v>
      </x:c>
      <x:c r="S5" s="81" t="str">
        <x:v>Notti_Fugaci_Social_Pack/05_CAPTIONS/CH03_caption.txt</x:v>
      </x:c>
      <x:c r="T5" s="81" t="str">
        <x:v>https://diaridipelle.it/notti-fugaci.html</x:v>
      </x:c>
    </x:row>
    <x:row r="6" ht="58" customHeight="1">
      <x:c r="A6" s="81" t="n">
        <x:v>5</x:v>
      </x:c>
      <x:c r="B6" s="81" t="n">
        <x:v>3</x:v>
      </x:c>
      <x:c r="C6" s="81" t="str">
        <x:v>A</x:v>
      </x:c>
      <x:c r="D6" s="81" t="n">
        <x:v>1</x:v>
      </x:c>
      <x:c r="E6" s="81" t="n">
        <x:v>14</x:v>
      </x:c>
      <x:c r="F6" s="90" t="n">
        <x:f>'CONFIG'!$B$8+(D6-1)*'CONFIG'!$B$14-'CONFIG'!$B$15</x:f>
        <x:v>46236</x:v>
      </x:c>
      <x:c r="G6" s="90" t="n">
        <x:f>'CONFIG'!$B$8+(B6-1)*7-'CONFIG'!$B$16</x:f>
        <x:v>46250</x:v>
      </x:c>
      <x:c r="H6" s="90" t="n">
        <x:f>'CONFIG'!$B$8+E6</x:f>
        <x:v>46252</x:v>
      </x:c>
      <x:c r="I6" s="90" t="n">
        <x:f>H6+1</x:f>
        <x:v>46253</x:v>
      </x:c>
      <x:c r="J6" s="90" t="n">
        <x:f>H6+2</x:f>
        <x:v>46254</x:v>
      </x:c>
      <x:c r="K6" s="81" t="str">
        <x:v>Notti Fugaci</x:v>
      </x:c>
      <x:c r="L6" s="81" t="str">
        <x:v>CH04</x:v>
      </x:c>
      <x:c r="M6" s="81" t="str">
        <x:v>L'Irlandese</x:v>
      </x:c>
      <x:c r="N6" s="81" t="str">
        <x:v>Notti_Fugaci_Social_Pack.zip</x:v>
      </x:c>
      <x:c r="O6" s="81" t="str">
        <x:v>Notti_Fugaci_Social_Pack/01_REELS/CH04_reel.mp4</x:v>
      </x:c>
      <x:c r="P6" s="81" t="str">
        <x:v>Notti_Fugaci_Social_Pack/02_REEL_COVERS/CH04_cover.jpg</x:v>
      </x:c>
      <x:c r="Q6" s="81" t="str">
        <x:v>Notti_Fugaci_Social_Pack/04_STORIES/CH04_story.jpg</x:v>
      </x:c>
      <x:c r="R6" s="81" t="str">
        <x:v>Notti_Fugaci_Social_Pack/03_CAROUSELS/CH04/CH04_01.jpg
Notti_Fugaci_Social_Pack/03_CAROUSELS/CH04/CH04_02.jpg
Notti_Fugaci_Social_Pack/03_CAROUSELS/CH04/CH04_03.jpg</x:v>
      </x:c>
      <x:c r="S6" s="81" t="str">
        <x:v>Notti_Fugaci_Social_Pack/05_CAPTIONS/CH04_caption.txt</x:v>
      </x:c>
      <x:c r="T6" s="81" t="str">
        <x:v>https://diaridipelle.it/notti-fugaci.html</x:v>
      </x:c>
    </x:row>
    <x:row r="7" ht="58" customHeight="1">
      <x:c r="A7" s="81" t="n">
        <x:v>6</x:v>
      </x:c>
      <x:c r="B7" s="81" t="n">
        <x:v>3</x:v>
      </x:c>
      <x:c r="C7" s="81" t="str">
        <x:v>B</x:v>
      </x:c>
      <x:c r="D7" s="81" t="n">
        <x:v>1</x:v>
      </x:c>
      <x:c r="E7" s="81" t="n">
        <x:v>17</x:v>
      </x:c>
      <x:c r="F7" s="90" t="n">
        <x:f>'CONFIG'!$B$8+(D7-1)*'CONFIG'!$B$14-'CONFIG'!$B$15</x:f>
        <x:v>46236</x:v>
      </x:c>
      <x:c r="G7" s="90" t="n">
        <x:f>'CONFIG'!$B$8+(B7-1)*7-'CONFIG'!$B$16</x:f>
        <x:v>46250</x:v>
      </x:c>
      <x:c r="H7" s="90" t="n">
        <x:f>'CONFIG'!$B$8+E7</x:f>
        <x:v>46255</x:v>
      </x:c>
      <x:c r="I7" s="90" t="n">
        <x:f>H7+1</x:f>
        <x:v>46256</x:v>
      </x:c>
      <x:c r="J7" s="90" t="n">
        <x:f>H7+2</x:f>
        <x:v>46257</x:v>
      </x:c>
      <x:c r="K7" s="81" t="str">
        <x:v>Notti Fugaci</x:v>
      </x:c>
      <x:c r="L7" s="81" t="str">
        <x:v>CH05</x:v>
      </x:c>
      <x:c r="M7" s="81" t="str">
        <x:v>Tu vuò fa' l'American</x:v>
      </x:c>
      <x:c r="N7" s="81" t="str">
        <x:v>Notti_Fugaci_Social_Pack.zip</x:v>
      </x:c>
      <x:c r="O7" s="81" t="str">
        <x:v>Notti_Fugaci_Social_Pack/01_REELS/CH05_reel.mp4</x:v>
      </x:c>
      <x:c r="P7" s="81" t="str">
        <x:v>Notti_Fugaci_Social_Pack/02_REEL_COVERS/CH05_cover.jpg</x:v>
      </x:c>
      <x:c r="Q7" s="81" t="str">
        <x:v>Notti_Fugaci_Social_Pack/04_STORIES/CH05_story.jpg</x:v>
      </x:c>
      <x:c r="R7" s="81" t="str">
        <x:v>Notti_Fugaci_Social_Pack/03_CAROUSELS/CH05/CH05_01.jpg
Notti_Fugaci_Social_Pack/03_CAROUSELS/CH05/CH05_02.jpg
Notti_Fugaci_Social_Pack/03_CAROUSELS/CH05/CH05_03.jpg</x:v>
      </x:c>
      <x:c r="S7" s="81" t="str">
        <x:v>Notti_Fugaci_Social_Pack/05_CAPTIONS/CH05_caption.txt</x:v>
      </x:c>
      <x:c r="T7" s="81" t="str">
        <x:v>https://diaridipelle.it/notti-fugaci.html</x:v>
      </x:c>
    </x:row>
    <x:row r="8" ht="58" customHeight="1">
      <x:c r="A8" s="81" t="n">
        <x:v>7</x:v>
      </x:c>
      <x:c r="B8" s="81" t="n">
        <x:v>4</x:v>
      </x:c>
      <x:c r="C8" s="81" t="str">
        <x:v>A</x:v>
      </x:c>
      <x:c r="D8" s="81" t="n">
        <x:v>1</x:v>
      </x:c>
      <x:c r="E8" s="81" t="n">
        <x:v>21</x:v>
      </x:c>
      <x:c r="F8" s="90" t="n">
        <x:f>'CONFIG'!$B$8+(D8-1)*'CONFIG'!$B$14-'CONFIG'!$B$15</x:f>
        <x:v>46236</x:v>
      </x:c>
      <x:c r="G8" s="90" t="n">
        <x:f>'CONFIG'!$B$8+(B8-1)*7-'CONFIG'!$B$16</x:f>
        <x:v>46257</x:v>
      </x:c>
      <x:c r="H8" s="90" t="n">
        <x:f>'CONFIG'!$B$8+E8</x:f>
        <x:v>46259</x:v>
      </x:c>
      <x:c r="I8" s="90" t="n">
        <x:f>H8+1</x:f>
        <x:v>46260</x:v>
      </x:c>
      <x:c r="J8" s="90" t="n">
        <x:f>H8+2</x:f>
        <x:v>46261</x:v>
      </x:c>
      <x:c r="K8" s="81" t="str">
        <x:v>Notti Fugaci</x:v>
      </x:c>
      <x:c r="L8" s="81" t="str">
        <x:v>CH06</x:v>
      </x:c>
      <x:c r="M8" s="81" t="str">
        <x:v>Helena</x:v>
      </x:c>
      <x:c r="N8" s="81" t="str">
        <x:v>Notti_Fugaci_Social_Pack.zip</x:v>
      </x:c>
      <x:c r="O8" s="81" t="str">
        <x:v>Notti_Fugaci_Social_Pack/01_REELS/CH06_reel.mp4</x:v>
      </x:c>
      <x:c r="P8" s="81" t="str">
        <x:v>Notti_Fugaci_Social_Pack/02_REEL_COVERS/CH06_cover.jpg</x:v>
      </x:c>
      <x:c r="Q8" s="81" t="str">
        <x:v>Notti_Fugaci_Social_Pack/04_STORIES/CH06_story.jpg</x:v>
      </x:c>
      <x:c r="R8" s="81" t="str">
        <x:v>Notti_Fugaci_Social_Pack/03_CAROUSELS/CH06/CH06_01.jpg
Notti_Fugaci_Social_Pack/03_CAROUSELS/CH06/CH06_02.jpg
Notti_Fugaci_Social_Pack/03_CAROUSELS/CH06/CH06_03.jpg</x:v>
      </x:c>
      <x:c r="S8" s="81" t="str">
        <x:v>Notti_Fugaci_Social_Pack/05_CAPTIONS/CH06_caption.txt</x:v>
      </x:c>
      <x:c r="T8" s="81" t="str">
        <x:v>https://diaridipelle.it/notti-fugaci.html</x:v>
      </x:c>
    </x:row>
    <x:row r="9" ht="58" customHeight="1">
      <x:c r="A9" s="81" t="n">
        <x:v>8</x:v>
      </x:c>
      <x:c r="B9" s="81" t="n">
        <x:v>4</x:v>
      </x:c>
      <x:c r="C9" s="81" t="str">
        <x:v>B</x:v>
      </x:c>
      <x:c r="D9" s="81" t="n">
        <x:v>1</x:v>
      </x:c>
      <x:c r="E9" s="81" t="n">
        <x:v>24</x:v>
      </x:c>
      <x:c r="F9" s="90" t="n">
        <x:f>'CONFIG'!$B$8+(D9-1)*'CONFIG'!$B$14-'CONFIG'!$B$15</x:f>
        <x:v>46236</x:v>
      </x:c>
      <x:c r="G9" s="90" t="n">
        <x:f>'CONFIG'!$B$8+(B9-1)*7-'CONFIG'!$B$16</x:f>
        <x:v>46257</x:v>
      </x:c>
      <x:c r="H9" s="90" t="n">
        <x:f>'CONFIG'!$B$8+E9</x:f>
        <x:v>46262</x:v>
      </x:c>
      <x:c r="I9" s="90" t="n">
        <x:f>H9+1</x:f>
        <x:v>46263</x:v>
      </x:c>
      <x:c r="J9" s="90" t="n">
        <x:f>H9+2</x:f>
        <x:v>46264</x:v>
      </x:c>
      <x:c r="K9" s="81" t="str">
        <x:v>Notti Fugaci</x:v>
      </x:c>
      <x:c r="L9" s="81" t="str">
        <x:v>CH07</x:v>
      </x:c>
      <x:c r="M9" s="81" t="str">
        <x:v>Virginia</x:v>
      </x:c>
      <x:c r="N9" s="81" t="str">
        <x:v>Notti_Fugaci_Social_Pack.zip</x:v>
      </x:c>
      <x:c r="O9" s="81" t="str">
        <x:v>Notti_Fugaci_Social_Pack/01_REELS/CH07_reel.mp4</x:v>
      </x:c>
      <x:c r="P9" s="81" t="str">
        <x:v>Notti_Fugaci_Social_Pack/02_REEL_COVERS/CH07_cover.jpg</x:v>
      </x:c>
      <x:c r="Q9" s="81" t="str">
        <x:v>Notti_Fugaci_Social_Pack/04_STORIES/CH07_story.jpg</x:v>
      </x:c>
      <x:c r="R9" s="81" t="str">
        <x:v>Notti_Fugaci_Social_Pack/03_CAROUSELS/CH07/CH07_01.jpg
Notti_Fugaci_Social_Pack/03_CAROUSELS/CH07/CH07_02.jpg
Notti_Fugaci_Social_Pack/03_CAROUSELS/CH07/CH07_03.jpg</x:v>
      </x:c>
      <x:c r="S9" s="81" t="str">
        <x:v>Notti_Fugaci_Social_Pack/05_CAPTIONS/CH07_caption.txt</x:v>
      </x:c>
      <x:c r="T9" s="81" t="str">
        <x:v>https://diaridipelle.it/notti-fugaci.html</x:v>
      </x:c>
    </x:row>
    <x:row r="10" ht="58" customHeight="1">
      <x:c r="A10" s="81" t="n">
        <x:v>9</x:v>
      </x:c>
      <x:c r="B10" s="81" t="n">
        <x:v>5</x:v>
      </x:c>
      <x:c r="C10" s="81" t="str">
        <x:v>A</x:v>
      </x:c>
      <x:c r="D10" s="81" t="n">
        <x:v>2</x:v>
      </x:c>
      <x:c r="E10" s="81" t="n">
        <x:v>28</x:v>
      </x:c>
      <x:c r="F10" s="90" t="n">
        <x:f>'CONFIG'!$B$8+(D10-1)*'CONFIG'!$B$14-'CONFIG'!$B$15</x:f>
        <x:v>46264</x:v>
      </x:c>
      <x:c r="G10" s="90" t="n">
        <x:f>'CONFIG'!$B$8+(B10-1)*7-'CONFIG'!$B$16</x:f>
        <x:v>46264</x:v>
      </x:c>
      <x:c r="H10" s="90" t="n">
        <x:f>'CONFIG'!$B$8+E10</x:f>
        <x:v>46266</x:v>
      </x:c>
      <x:c r="I10" s="90" t="n">
        <x:f>H10+1</x:f>
        <x:v>46267</x:v>
      </x:c>
      <x:c r="J10" s="90" t="n">
        <x:f>H10+2</x:f>
        <x:v>46268</x:v>
      </x:c>
      <x:c r="K10" s="81" t="str">
        <x:v>Notti Fugaci</x:v>
      </x:c>
      <x:c r="L10" s="81" t="str">
        <x:v>CH08</x:v>
      </x:c>
      <x:c r="M10" s="81" t="str">
        <x:v>Hope</x:v>
      </x:c>
      <x:c r="N10" s="81" t="str">
        <x:v>Notti_Fugaci_Social_Pack.zip</x:v>
      </x:c>
      <x:c r="O10" s="81" t="str">
        <x:v>Notti_Fugaci_Social_Pack/01_REELS/CH08_reel.mp4</x:v>
      </x:c>
      <x:c r="P10" s="81" t="str">
        <x:v>Notti_Fugaci_Social_Pack/02_REEL_COVERS/CH08_cover.jpg</x:v>
      </x:c>
      <x:c r="Q10" s="81" t="str">
        <x:v>Notti_Fugaci_Social_Pack/04_STORIES/CH08_story.jpg</x:v>
      </x:c>
      <x:c r="R10" s="81" t="str">
        <x:v>Notti_Fugaci_Social_Pack/03_CAROUSELS/CH08/CH08_01.jpg
Notti_Fugaci_Social_Pack/03_CAROUSELS/CH08/CH08_02.jpg
Notti_Fugaci_Social_Pack/03_CAROUSELS/CH08/CH08_03.jpg</x:v>
      </x:c>
      <x:c r="S10" s="81" t="str">
        <x:v>Notti_Fugaci_Social_Pack/05_CAPTIONS/CH08_caption.txt</x:v>
      </x:c>
      <x:c r="T10" s="81" t="str">
        <x:v>https://diaridipelle.it/notti-fugaci.html</x:v>
      </x:c>
    </x:row>
    <x:row r="11" ht="58" customHeight="1">
      <x:c r="A11" s="81" t="n">
        <x:v>10</x:v>
      </x:c>
      <x:c r="B11" s="81" t="n">
        <x:v>5</x:v>
      </x:c>
      <x:c r="C11" s="81" t="str">
        <x:v>B</x:v>
      </x:c>
      <x:c r="D11" s="81" t="n">
        <x:v>2</x:v>
      </x:c>
      <x:c r="E11" s="81" t="n">
        <x:v>31</x:v>
      </x:c>
      <x:c r="F11" s="90" t="n">
        <x:f>'CONFIG'!$B$8+(D11-1)*'CONFIG'!$B$14-'CONFIG'!$B$15</x:f>
        <x:v>46264</x:v>
      </x:c>
      <x:c r="G11" s="90" t="n">
        <x:f>'CONFIG'!$B$8+(B11-1)*7-'CONFIG'!$B$16</x:f>
        <x:v>46264</x:v>
      </x:c>
      <x:c r="H11" s="90" t="n">
        <x:f>'CONFIG'!$B$8+E11</x:f>
        <x:v>46269</x:v>
      </x:c>
      <x:c r="I11" s="90" t="n">
        <x:f>H11+1</x:f>
        <x:v>46270</x:v>
      </x:c>
      <x:c r="J11" s="90" t="n">
        <x:f>H11+2</x:f>
        <x:v>46271</x:v>
      </x:c>
      <x:c r="K11" s="81" t="str">
        <x:v>Notti Fugaci</x:v>
      </x:c>
      <x:c r="L11" s="81" t="str">
        <x:v>CH09</x:v>
      </x:c>
      <x:c r="M11" s="81" t="str">
        <x:v>Loida</x:v>
      </x:c>
      <x:c r="N11" s="81" t="str">
        <x:v>Notti_Fugaci_Social_Pack.zip</x:v>
      </x:c>
      <x:c r="O11" s="81" t="str">
        <x:v>Notti_Fugaci_Social_Pack/01_REELS/CH09_reel.mp4</x:v>
      </x:c>
      <x:c r="P11" s="81" t="str">
        <x:v>Notti_Fugaci_Social_Pack/02_REEL_COVERS/CH09_cover.jpg</x:v>
      </x:c>
      <x:c r="Q11" s="81" t="str">
        <x:v>Notti_Fugaci_Social_Pack/04_STORIES/CH09_story.jpg</x:v>
      </x:c>
      <x:c r="R11" s="81" t="str">
        <x:v>Notti_Fugaci_Social_Pack/03_CAROUSELS/CH09/CH09_01.jpg
Notti_Fugaci_Social_Pack/03_CAROUSELS/CH09/CH09_02.jpg
Notti_Fugaci_Social_Pack/03_CAROUSELS/CH09/CH09_03.jpg</x:v>
      </x:c>
      <x:c r="S11" s="81" t="str">
        <x:v>Notti_Fugaci_Social_Pack/05_CAPTIONS/CH09_caption.txt</x:v>
      </x:c>
      <x:c r="T11" s="81" t="str">
        <x:v>https://diaridipelle.it/notti-fugaci.html</x:v>
      </x:c>
    </x:row>
    <x:row r="12" ht="58" customHeight="1">
      <x:c r="A12" s="81" t="n">
        <x:v>11</x:v>
      </x:c>
      <x:c r="B12" s="81" t="n">
        <x:v>6</x:v>
      </x:c>
      <x:c r="C12" s="81" t="str">
        <x:v>A</x:v>
      </x:c>
      <x:c r="D12" s="81" t="n">
        <x:v>2</x:v>
      </x:c>
      <x:c r="E12" s="81" t="n">
        <x:v>35</x:v>
      </x:c>
      <x:c r="F12" s="90" t="n">
        <x:f>'CONFIG'!$B$8+(D12-1)*'CONFIG'!$B$14-'CONFIG'!$B$15</x:f>
        <x:v>46264</x:v>
      </x:c>
      <x:c r="G12" s="90" t="n">
        <x:f>'CONFIG'!$B$8+(B12-1)*7-'CONFIG'!$B$16</x:f>
        <x:v>46271</x:v>
      </x:c>
      <x:c r="H12" s="90" t="n">
        <x:f>'CONFIG'!$B$8+E12</x:f>
        <x:v>46273</x:v>
      </x:c>
      <x:c r="I12" s="90" t="n">
        <x:f>H12+1</x:f>
        <x:v>46274</x:v>
      </x:c>
      <x:c r="J12" s="90" t="n">
        <x:f>H12+2</x:f>
        <x:v>46275</x:v>
      </x:c>
      <x:c r="K12" s="81" t="str">
        <x:v>Notti Fugaci</x:v>
      </x:c>
      <x:c r="L12" s="81" t="str">
        <x:v>CH10</x:v>
      </x:c>
      <x:c r="M12" s="81" t="str">
        <x:v>Florencia</x:v>
      </x:c>
      <x:c r="N12" s="81" t="str">
        <x:v>Notti_Fugaci_Social_Pack.zip</x:v>
      </x:c>
      <x:c r="O12" s="81" t="str">
        <x:v>Notti_Fugaci_Social_Pack/01_REELS/CH10_reel.mp4</x:v>
      </x:c>
      <x:c r="P12" s="81" t="str">
        <x:v>Notti_Fugaci_Social_Pack/02_REEL_COVERS/CH10_cover.jpg</x:v>
      </x:c>
      <x:c r="Q12" s="81" t="str">
        <x:v>Notti_Fugaci_Social_Pack/04_STORIES/CH10_story.jpg</x:v>
      </x:c>
      <x:c r="R12" s="81" t="str">
        <x:v>Notti_Fugaci_Social_Pack/03_CAROUSELS/CH10/CH10_01.jpg
Notti_Fugaci_Social_Pack/03_CAROUSELS/CH10/CH10_02.jpg
Notti_Fugaci_Social_Pack/03_CAROUSELS/CH10/CH10_03.jpg</x:v>
      </x:c>
      <x:c r="S12" s="81" t="str">
        <x:v>Notti_Fugaci_Social_Pack/05_CAPTIONS/CH10_caption.txt</x:v>
      </x:c>
      <x:c r="T12" s="81" t="str">
        <x:v>https://diaridipelle.it/notti-fugaci.html</x:v>
      </x:c>
    </x:row>
    <x:row r="13" ht="58" customHeight="1">
      <x:c r="A13" s="81" t="n">
        <x:v>12</x:v>
      </x:c>
      <x:c r="B13" s="81" t="n">
        <x:v>6</x:v>
      </x:c>
      <x:c r="C13" s="81" t="str">
        <x:v>B</x:v>
      </x:c>
      <x:c r="D13" s="81" t="n">
        <x:v>2</x:v>
      </x:c>
      <x:c r="E13" s="81" t="n">
        <x:v>38</x:v>
      </x:c>
      <x:c r="F13" s="90" t="n">
        <x:f>'CONFIG'!$B$8+(D13-1)*'CONFIG'!$B$14-'CONFIG'!$B$15</x:f>
        <x:v>46264</x:v>
      </x:c>
      <x:c r="G13" s="90" t="n">
        <x:f>'CONFIG'!$B$8+(B13-1)*7-'CONFIG'!$B$16</x:f>
        <x:v>46271</x:v>
      </x:c>
      <x:c r="H13" s="90" t="n">
        <x:f>'CONFIG'!$B$8+E13</x:f>
        <x:v>46276</x:v>
      </x:c>
      <x:c r="I13" s="90" t="n">
        <x:f>H13+1</x:f>
        <x:v>46277</x:v>
      </x:c>
      <x:c r="J13" s="90" t="n">
        <x:f>H13+2</x:f>
        <x:v>46278</x:v>
      </x:c>
      <x:c r="K13" s="81" t="str">
        <x:v>Intrecci Sbagliati</x:v>
      </x:c>
      <x:c r="L13" s="81" t="str">
        <x:v>TRAILER</x:v>
      </x:c>
      <x:c r="M13" s="81" t="str">
        <x:v>Intrecci Sbagliati</x:v>
      </x:c>
      <x:c r="N13" s="81" t="str">
        <x:v>Intrecci_Sbagliati_Social_Pack.zip</x:v>
      </x:c>
      <x:c r="O13" s="81" t="str">
        <x:v>Intrecci_Sbagliati_Social_Pack/01_REELS/TRAILER_reel.mp4</x:v>
      </x:c>
      <x:c r="P13" s="81" t="str">
        <x:v>Intrecci_Sbagliati_Social_Pack/02_REEL_COVERS/TRAILER_cover.jpg</x:v>
      </x:c>
      <x:c r="Q13" s="81" t="str">
        <x:v>Intrecci_Sbagliati_Social_Pack/04_STORIES/TRAILER_story.jpg</x:v>
      </x:c>
      <x:c r="R13" s="81" t="str">
        <x:v>Intrecci_Sbagliati_Social_Pack/03_CAROUSELS/TRAILER/TRAILER_01.jpg
Intrecci_Sbagliati_Social_Pack/03_CAROUSELS/TRAILER/TRAILER_02.jpg
Intrecci_Sbagliati_Social_Pack/03_CAROUSELS/TRAILER/TRAILER_03.jpg</x:v>
      </x:c>
      <x:c r="S13" s="81" t="str">
        <x:v>Intrecci_Sbagliati_Social_Pack/05_CAPTIONS/TRAILER_caption.txt</x:v>
      </x:c>
      <x:c r="T13" s="81" t="str">
        <x:v>https://diaridipelle.it/intrecci-sbagliati.html</x:v>
      </x:c>
    </x:row>
    <x:row r="14" ht="58" customHeight="1">
      <x:c r="A14" s="81" t="n">
        <x:v>13</x:v>
      </x:c>
      <x:c r="B14" s="81" t="n">
        <x:v>7</x:v>
      </x:c>
      <x:c r="C14" s="81" t="str">
        <x:v>A</x:v>
      </x:c>
      <x:c r="D14" s="81" t="n">
        <x:v>2</x:v>
      </x:c>
      <x:c r="E14" s="81" t="n">
        <x:v>42</x:v>
      </x:c>
      <x:c r="F14" s="90" t="n">
        <x:f>'CONFIG'!$B$8+(D14-1)*'CONFIG'!$B$14-'CONFIG'!$B$15</x:f>
        <x:v>46264</x:v>
      </x:c>
      <x:c r="G14" s="90" t="n">
        <x:f>'CONFIG'!$B$8+(B14-1)*7-'CONFIG'!$B$16</x:f>
        <x:v>46278</x:v>
      </x:c>
      <x:c r="H14" s="90" t="n">
        <x:f>'CONFIG'!$B$8+E14</x:f>
        <x:v>46280</x:v>
      </x:c>
      <x:c r="I14" s="90" t="n">
        <x:f>H14+1</x:f>
        <x:v>46281</x:v>
      </x:c>
      <x:c r="J14" s="90" t="n">
        <x:f>H14+2</x:f>
        <x:v>46282</x:v>
      </x:c>
      <x:c r="K14" s="81" t="str">
        <x:v>Intrecci Sbagliati</x:v>
      </x:c>
      <x:c r="L14" s="81" t="str">
        <x:v>CH01</x:v>
      </x:c>
      <x:c r="M14" s="81" t="str">
        <x:v>Héloïse</x:v>
      </x:c>
      <x:c r="N14" s="81" t="str">
        <x:v>Intrecci_Sbagliati_Social_Pack.zip</x:v>
      </x:c>
      <x:c r="O14" s="81" t="str">
        <x:v>Intrecci_Sbagliati_Social_Pack/01_REELS/CH01_reel.mp4</x:v>
      </x:c>
      <x:c r="P14" s="81" t="str">
        <x:v>Intrecci_Sbagliati_Social_Pack/02_REEL_COVERS/CH01_cover.jpg</x:v>
      </x:c>
      <x:c r="Q14" s="81" t="str">
        <x:v>Intrecci_Sbagliati_Social_Pack/04_STORIES/CH01_story.jpg</x:v>
      </x:c>
      <x:c r="R14" s="81" t="str">
        <x:v>Intrecci_Sbagliati_Social_Pack/03_CAROUSELS/CH01/CH01_01.jpg
Intrecci_Sbagliati_Social_Pack/03_CAROUSELS/CH01/CH01_02.jpg
Intrecci_Sbagliati_Social_Pack/03_CAROUSELS/CH01/CH01_03.jpg</x:v>
      </x:c>
      <x:c r="S14" s="81" t="str">
        <x:v>Intrecci_Sbagliati_Social_Pack/05_CAPTIONS/CH01_caption.txt</x:v>
      </x:c>
      <x:c r="T14" s="81" t="str">
        <x:v>https://diaridipelle.it/intrecci-sbagliati.html</x:v>
      </x:c>
    </x:row>
    <x:row r="15" ht="58" customHeight="1">
      <x:c r="A15" s="81" t="n">
        <x:v>14</x:v>
      </x:c>
      <x:c r="B15" s="81" t="n">
        <x:v>7</x:v>
      </x:c>
      <x:c r="C15" s="81" t="str">
        <x:v>B</x:v>
      </x:c>
      <x:c r="D15" s="81" t="n">
        <x:v>2</x:v>
      </x:c>
      <x:c r="E15" s="81" t="n">
        <x:v>45</x:v>
      </x:c>
      <x:c r="F15" s="90" t="n">
        <x:f>'CONFIG'!$B$8+(D15-1)*'CONFIG'!$B$14-'CONFIG'!$B$15</x:f>
        <x:v>46264</x:v>
      </x:c>
      <x:c r="G15" s="90" t="n">
        <x:f>'CONFIG'!$B$8+(B15-1)*7-'CONFIG'!$B$16</x:f>
        <x:v>46278</x:v>
      </x:c>
      <x:c r="H15" s="90" t="n">
        <x:f>'CONFIG'!$B$8+E15</x:f>
        <x:v>46283</x:v>
      </x:c>
      <x:c r="I15" s="90" t="n">
        <x:f>H15+1</x:f>
        <x:v>46284</x:v>
      </x:c>
      <x:c r="J15" s="90" t="n">
        <x:f>H15+2</x:f>
        <x:v>46285</x:v>
      </x:c>
      <x:c r="K15" s="81" t="str">
        <x:v>Intrecci Sbagliati</x:v>
      </x:c>
      <x:c r="L15" s="81" t="str">
        <x:v>CH02</x:v>
      </x:c>
      <x:c r="M15" s="81" t="str">
        <x:v>Greta</x:v>
      </x:c>
      <x:c r="N15" s="81" t="str">
        <x:v>Intrecci_Sbagliati_Social_Pack.zip</x:v>
      </x:c>
      <x:c r="O15" s="81" t="str">
        <x:v>Intrecci_Sbagliati_Social_Pack/01_REELS/CH02_reel.mp4</x:v>
      </x:c>
      <x:c r="P15" s="81" t="str">
        <x:v>Intrecci_Sbagliati_Social_Pack/02_REEL_COVERS/CH02_cover.jpg</x:v>
      </x:c>
      <x:c r="Q15" s="81" t="str">
        <x:v>Intrecci_Sbagliati_Social_Pack/04_STORIES/CH02_story.jpg</x:v>
      </x:c>
      <x:c r="R15" s="81" t="str">
        <x:v>Intrecci_Sbagliati_Social_Pack/03_CAROUSELS/CH02/CH02_01.jpg
Intrecci_Sbagliati_Social_Pack/03_CAROUSELS/CH02/CH02_02.jpg
Intrecci_Sbagliati_Social_Pack/03_CAROUSELS/CH02/CH02_03.jpg</x:v>
      </x:c>
      <x:c r="S15" s="81" t="str">
        <x:v>Intrecci_Sbagliati_Social_Pack/05_CAPTIONS/CH02_caption.txt</x:v>
      </x:c>
      <x:c r="T15" s="81" t="str">
        <x:v>https://diaridipelle.it/intrecci-sbagliati.html</x:v>
      </x:c>
    </x:row>
    <x:row r="16" ht="58" customHeight="1">
      <x:c r="A16" s="81" t="n">
        <x:v>15</x:v>
      </x:c>
      <x:c r="B16" s="81" t="n">
        <x:v>8</x:v>
      </x:c>
      <x:c r="C16" s="81" t="str">
        <x:v>A</x:v>
      </x:c>
      <x:c r="D16" s="81" t="n">
        <x:v>2</x:v>
      </x:c>
      <x:c r="E16" s="81" t="n">
        <x:v>49</x:v>
      </x:c>
      <x:c r="F16" s="90" t="n">
        <x:f>'CONFIG'!$B$8+(D16-1)*'CONFIG'!$B$14-'CONFIG'!$B$15</x:f>
        <x:v>46264</x:v>
      </x:c>
      <x:c r="G16" s="90" t="n">
        <x:f>'CONFIG'!$B$8+(B16-1)*7-'CONFIG'!$B$16</x:f>
        <x:v>46285</x:v>
      </x:c>
      <x:c r="H16" s="90" t="n">
        <x:f>'CONFIG'!$B$8+E16</x:f>
        <x:v>46287</x:v>
      </x:c>
      <x:c r="I16" s="90" t="n">
        <x:f>H16+1</x:f>
        <x:v>46288</x:v>
      </x:c>
      <x:c r="J16" s="90" t="n">
        <x:f>H16+2</x:f>
        <x:v>46289</x:v>
      </x:c>
      <x:c r="K16" s="81" t="str">
        <x:v>Intrecci Sbagliati</x:v>
      </x:c>
      <x:c r="L16" s="81" t="str">
        <x:v>CH03</x:v>
      </x:c>
      <x:c r="M16" s="81" t="str">
        <x:v>Rossella</x:v>
      </x:c>
      <x:c r="N16" s="81" t="str">
        <x:v>Intrecci_Sbagliati_Social_Pack.zip</x:v>
      </x:c>
      <x:c r="O16" s="81" t="str">
        <x:v>Intrecci_Sbagliati_Social_Pack/01_REELS/CH03_reel.mp4</x:v>
      </x:c>
      <x:c r="P16" s="81" t="str">
        <x:v>Intrecci_Sbagliati_Social_Pack/02_REEL_COVERS/CH03_cover.jpg</x:v>
      </x:c>
      <x:c r="Q16" s="81" t="str">
        <x:v>Intrecci_Sbagliati_Social_Pack/04_STORIES/CH03_story.jpg</x:v>
      </x:c>
      <x:c r="R16" s="81" t="str">
        <x:v>Intrecci_Sbagliati_Social_Pack/03_CAROUSELS/CH03/CH03_01.jpg
Intrecci_Sbagliati_Social_Pack/03_CAROUSELS/CH03/CH03_02.jpg
Intrecci_Sbagliati_Social_Pack/03_CAROUSELS/CH03/CH03_03.jpg</x:v>
      </x:c>
      <x:c r="S16" s="81" t="str">
        <x:v>Intrecci_Sbagliati_Social_Pack/05_CAPTIONS/CH03_caption.txt</x:v>
      </x:c>
      <x:c r="T16" s="81" t="str">
        <x:v>https://diaridipelle.it/intrecci-sbagliati.html</x:v>
      </x:c>
    </x:row>
    <x:row r="17" ht="58" customHeight="1">
      <x:c r="A17" s="81" t="n">
        <x:v>16</x:v>
      </x:c>
      <x:c r="B17" s="81" t="n">
        <x:v>8</x:v>
      </x:c>
      <x:c r="C17" s="81" t="str">
        <x:v>B</x:v>
      </x:c>
      <x:c r="D17" s="81" t="n">
        <x:v>2</x:v>
      </x:c>
      <x:c r="E17" s="81" t="n">
        <x:v>52</x:v>
      </x:c>
      <x:c r="F17" s="90" t="n">
        <x:f>'CONFIG'!$B$8+(D17-1)*'CONFIG'!$B$14-'CONFIG'!$B$15</x:f>
        <x:v>46264</x:v>
      </x:c>
      <x:c r="G17" s="90" t="n">
        <x:f>'CONFIG'!$B$8+(B17-1)*7-'CONFIG'!$B$16</x:f>
        <x:v>46285</x:v>
      </x:c>
      <x:c r="H17" s="90" t="n">
        <x:f>'CONFIG'!$B$8+E17</x:f>
        <x:v>46290</x:v>
      </x:c>
      <x:c r="I17" s="90" t="n">
        <x:f>H17+1</x:f>
        <x:v>46291</x:v>
      </x:c>
      <x:c r="J17" s="90" t="n">
        <x:f>H17+2</x:f>
        <x:v>46292</x:v>
      </x:c>
      <x:c r="K17" s="81" t="str">
        <x:v>Intrecci Sbagliati</x:v>
      </x:c>
      <x:c r="L17" s="81" t="str">
        <x:v>CH04</x:v>
      </x:c>
      <x:c r="M17" s="81" t="str">
        <x:v>Cansu</x:v>
      </x:c>
      <x:c r="N17" s="81" t="str">
        <x:v>Intrecci_Sbagliati_Social_Pack.zip</x:v>
      </x:c>
      <x:c r="O17" s="81" t="str">
        <x:v>Intrecci_Sbagliati_Social_Pack/01_REELS/CH04_reel.mp4</x:v>
      </x:c>
      <x:c r="P17" s="81" t="str">
        <x:v>Intrecci_Sbagliati_Social_Pack/02_REEL_COVERS/CH04_cover.jpg</x:v>
      </x:c>
      <x:c r="Q17" s="81" t="str">
        <x:v>Intrecci_Sbagliati_Social_Pack/04_STORIES/CH04_story.jpg</x:v>
      </x:c>
      <x:c r="R17" s="81" t="str">
        <x:v>Intrecci_Sbagliati_Social_Pack/03_CAROUSELS/CH04/CH04_01.jpg
Intrecci_Sbagliati_Social_Pack/03_CAROUSELS/CH04/CH04_02.jpg
Intrecci_Sbagliati_Social_Pack/03_CAROUSELS/CH04/CH04_03.jpg</x:v>
      </x:c>
      <x:c r="S17" s="81" t="str">
        <x:v>Intrecci_Sbagliati_Social_Pack/05_CAPTIONS/CH04_caption.txt</x:v>
      </x:c>
      <x:c r="T17" s="81" t="str">
        <x:v>https://diaridipelle.it/intrecci-sbagliati.html</x:v>
      </x:c>
    </x:row>
    <x:row r="18" ht="58" customHeight="1">
      <x:c r="A18" s="81" t="n">
        <x:v>17</x:v>
      </x:c>
      <x:c r="B18" s="81" t="n">
        <x:v>9</x:v>
      </x:c>
      <x:c r="C18" s="81" t="str">
        <x:v>A</x:v>
      </x:c>
      <x:c r="D18" s="81" t="n">
        <x:v>3</x:v>
      </x:c>
      <x:c r="E18" s="81" t="n">
        <x:v>56</x:v>
      </x:c>
      <x:c r="F18" s="90" t="n">
        <x:f>'CONFIG'!$B$8+(D18-1)*'CONFIG'!$B$14-'CONFIG'!$B$15</x:f>
        <x:v>46292</x:v>
      </x:c>
      <x:c r="G18" s="90" t="n">
        <x:f>'CONFIG'!$B$8+(B18-1)*7-'CONFIG'!$B$16</x:f>
        <x:v>46292</x:v>
      </x:c>
      <x:c r="H18" s="90" t="n">
        <x:f>'CONFIG'!$B$8+E18</x:f>
        <x:v>46294</x:v>
      </x:c>
      <x:c r="I18" s="90" t="n">
        <x:f>H18+1</x:f>
        <x:v>46295</x:v>
      </x:c>
      <x:c r="J18" s="90" t="n">
        <x:f>H18+2</x:f>
        <x:v>46296</x:v>
      </x:c>
      <x:c r="K18" s="81" t="str">
        <x:v>Intrecci Sbagliati</x:v>
      </x:c>
      <x:c r="L18" s="81" t="str">
        <x:v>CH05</x:v>
      </x:c>
      <x:c r="M18" s="81" t="str">
        <x:v>Ella</x:v>
      </x:c>
      <x:c r="N18" s="81" t="str">
        <x:v>Intrecci_Sbagliati_Social_Pack.zip</x:v>
      </x:c>
      <x:c r="O18" s="81" t="str">
        <x:v>Intrecci_Sbagliati_Social_Pack/01_REELS/CH05_reel.mp4</x:v>
      </x:c>
      <x:c r="P18" s="81" t="str">
        <x:v>Intrecci_Sbagliati_Social_Pack/02_REEL_COVERS/CH05_cover.jpg</x:v>
      </x:c>
      <x:c r="Q18" s="81" t="str">
        <x:v>Intrecci_Sbagliati_Social_Pack/04_STORIES/CH05_story.jpg</x:v>
      </x:c>
      <x:c r="R18" s="81" t="str">
        <x:v>Intrecci_Sbagliati_Social_Pack/03_CAROUSELS/CH05/CH05_01.jpg
Intrecci_Sbagliati_Social_Pack/03_CAROUSELS/CH05/CH05_02.jpg
Intrecci_Sbagliati_Social_Pack/03_CAROUSELS/CH05/CH05_03.jpg</x:v>
      </x:c>
      <x:c r="S18" s="81" t="str">
        <x:v>Intrecci_Sbagliati_Social_Pack/05_CAPTIONS/CH05_caption.txt</x:v>
      </x:c>
      <x:c r="T18" s="81" t="str">
        <x:v>https://diaridipelle.it/intrecci-sbagliati.html</x:v>
      </x:c>
    </x:row>
    <x:row r="19" ht="58" customHeight="1">
      <x:c r="A19" s="81" t="n">
        <x:v>18</x:v>
      </x:c>
      <x:c r="B19" s="81" t="n">
        <x:v>9</x:v>
      </x:c>
      <x:c r="C19" s="81" t="str">
        <x:v>B</x:v>
      </x:c>
      <x:c r="D19" s="81" t="n">
        <x:v>3</x:v>
      </x:c>
      <x:c r="E19" s="81" t="n">
        <x:v>59</x:v>
      </x:c>
      <x:c r="F19" s="90" t="n">
        <x:f>'CONFIG'!$B$8+(D19-1)*'CONFIG'!$B$14-'CONFIG'!$B$15</x:f>
        <x:v>46292</x:v>
      </x:c>
      <x:c r="G19" s="90" t="n">
        <x:f>'CONFIG'!$B$8+(B19-1)*7-'CONFIG'!$B$16</x:f>
        <x:v>46292</x:v>
      </x:c>
      <x:c r="H19" s="90" t="n">
        <x:f>'CONFIG'!$B$8+E19</x:f>
        <x:v>46297</x:v>
      </x:c>
      <x:c r="I19" s="90" t="n">
        <x:f>H19+1</x:f>
        <x:v>46298</x:v>
      </x:c>
      <x:c r="J19" s="90" t="n">
        <x:f>H19+2</x:f>
        <x:v>46299</x:v>
      </x:c>
      <x:c r="K19" s="81" t="str">
        <x:v>Intrecci Sbagliati</x:v>
      </x:c>
      <x:c r="L19" s="81" t="str">
        <x:v>CH06</x:v>
      </x:c>
      <x:c r="M19" s="81" t="str">
        <x:v>Ancora Lei</x:v>
      </x:c>
      <x:c r="N19" s="81" t="str">
        <x:v>Intrecci_Sbagliati_Social_Pack.zip</x:v>
      </x:c>
      <x:c r="O19" s="81" t="str">
        <x:v>Intrecci_Sbagliati_Social_Pack/01_REELS/CH06_reel.mp4</x:v>
      </x:c>
      <x:c r="P19" s="81" t="str">
        <x:v>Intrecci_Sbagliati_Social_Pack/02_REEL_COVERS/CH06_cover.jpg</x:v>
      </x:c>
      <x:c r="Q19" s="81" t="str">
        <x:v>Intrecci_Sbagliati_Social_Pack/04_STORIES/CH06_story.jpg</x:v>
      </x:c>
      <x:c r="R19" s="81" t="str">
        <x:v>Intrecci_Sbagliati_Social_Pack/03_CAROUSELS/CH06/CH06_01.jpg
Intrecci_Sbagliati_Social_Pack/03_CAROUSELS/CH06/CH06_02.jpg
Intrecci_Sbagliati_Social_Pack/03_CAROUSELS/CH06/CH06_03.jpg</x:v>
      </x:c>
      <x:c r="S19" s="81" t="str">
        <x:v>Intrecci_Sbagliati_Social_Pack/05_CAPTIONS/CH06_caption.txt</x:v>
      </x:c>
      <x:c r="T19" s="81" t="str">
        <x:v>https://diaridipelle.it/intrecci-sbagliati.html</x:v>
      </x:c>
    </x:row>
    <x:row r="20" ht="58" customHeight="1">
      <x:c r="A20" s="81" t="n">
        <x:v>19</x:v>
      </x:c>
      <x:c r="B20" s="81" t="n">
        <x:v>10</x:v>
      </x:c>
      <x:c r="C20" s="81" t="str">
        <x:v>A</x:v>
      </x:c>
      <x:c r="D20" s="81" t="n">
        <x:v>3</x:v>
      </x:c>
      <x:c r="E20" s="81" t="n">
        <x:v>63</x:v>
      </x:c>
      <x:c r="F20" s="90" t="n">
        <x:f>'CONFIG'!$B$8+(D20-1)*'CONFIG'!$B$14-'CONFIG'!$B$15</x:f>
        <x:v>46292</x:v>
      </x:c>
      <x:c r="G20" s="90" t="n">
        <x:f>'CONFIG'!$B$8+(B20-1)*7-'CONFIG'!$B$16</x:f>
        <x:v>46299</x:v>
      </x:c>
      <x:c r="H20" s="90" t="n">
        <x:f>'CONFIG'!$B$8+E20</x:f>
        <x:v>46301</x:v>
      </x:c>
      <x:c r="I20" s="90" t="n">
        <x:f>H20+1</x:f>
        <x:v>46302</x:v>
      </x:c>
      <x:c r="J20" s="90" t="n">
        <x:f>H20+2</x:f>
        <x:v>46303</x:v>
      </x:c>
      <x:c r="K20" s="81" t="str">
        <x:v>Intrecci Sbagliati</x:v>
      </x:c>
      <x:c r="L20" s="81" t="str">
        <x:v>CH07</x:v>
      </x:c>
      <x:c r="M20" s="81" t="str">
        <x:v>Isabella</x:v>
      </x:c>
      <x:c r="N20" s="81" t="str">
        <x:v>Intrecci_Sbagliati_Social_Pack.zip</x:v>
      </x:c>
      <x:c r="O20" s="81" t="str">
        <x:v>Intrecci_Sbagliati_Social_Pack/01_REELS/CH07_reel.mp4</x:v>
      </x:c>
      <x:c r="P20" s="81" t="str">
        <x:v>Intrecci_Sbagliati_Social_Pack/02_REEL_COVERS/CH07_cover.jpg</x:v>
      </x:c>
      <x:c r="Q20" s="81" t="str">
        <x:v>Intrecci_Sbagliati_Social_Pack/04_STORIES/CH07_story.jpg</x:v>
      </x:c>
      <x:c r="R20" s="81" t="str">
        <x:v>Intrecci_Sbagliati_Social_Pack/03_CAROUSELS/CH07/CH07_01.jpg
Intrecci_Sbagliati_Social_Pack/03_CAROUSELS/CH07/CH07_02.jpg
Intrecci_Sbagliati_Social_Pack/03_CAROUSELS/CH07/CH07_03.jpg</x:v>
      </x:c>
      <x:c r="S20" s="81" t="str">
        <x:v>Intrecci_Sbagliati_Social_Pack/05_CAPTIONS/CH07_caption.txt</x:v>
      </x:c>
      <x:c r="T20" s="81" t="str">
        <x:v>https://diaridipelle.it/intrecci-sbagliati.html</x:v>
      </x:c>
    </x:row>
    <x:row r="21" ht="58" customHeight="1">
      <x:c r="A21" s="81" t="n">
        <x:v>20</x:v>
      </x:c>
      <x:c r="B21" s="81" t="n">
        <x:v>10</x:v>
      </x:c>
      <x:c r="C21" s="81" t="str">
        <x:v>B</x:v>
      </x:c>
      <x:c r="D21" s="81" t="n">
        <x:v>3</x:v>
      </x:c>
      <x:c r="E21" s="81" t="n">
        <x:v>66</x:v>
      </x:c>
      <x:c r="F21" s="90" t="n">
        <x:f>'CONFIG'!$B$8+(D21-1)*'CONFIG'!$B$14-'CONFIG'!$B$15</x:f>
        <x:v>46292</x:v>
      </x:c>
      <x:c r="G21" s="90" t="n">
        <x:f>'CONFIG'!$B$8+(B21-1)*7-'CONFIG'!$B$16</x:f>
        <x:v>46299</x:v>
      </x:c>
      <x:c r="H21" s="90" t="n">
        <x:f>'CONFIG'!$B$8+E21</x:f>
        <x:v>46304</x:v>
      </x:c>
      <x:c r="I21" s="90" t="n">
        <x:f>H21+1</x:f>
        <x:v>46305</x:v>
      </x:c>
      <x:c r="J21" s="90" t="n">
        <x:f>H21+2</x:f>
        <x:v>46306</x:v>
      </x:c>
      <x:c r="K21" s="81" t="str">
        <x:v>Intrecci Sbagliati</x:v>
      </x:c>
      <x:c r="L21" s="81" t="str">
        <x:v>CH08</x:v>
      </x:c>
      <x:c r="M21" s="81" t="str">
        <x:v>Promesse mantenute</x:v>
      </x:c>
      <x:c r="N21" s="81" t="str">
        <x:v>Intrecci_Sbagliati_Social_Pack.zip</x:v>
      </x:c>
      <x:c r="O21" s="81" t="str">
        <x:v>Intrecci_Sbagliati_Social_Pack/01_REELS/CH08_reel.mp4</x:v>
      </x:c>
      <x:c r="P21" s="81" t="str">
        <x:v>Intrecci_Sbagliati_Social_Pack/02_REEL_COVERS/CH08_cover.jpg</x:v>
      </x:c>
      <x:c r="Q21" s="81" t="str">
        <x:v>Intrecci_Sbagliati_Social_Pack/04_STORIES/CH08_story.jpg</x:v>
      </x:c>
      <x:c r="R21" s="81" t="str">
        <x:v>Intrecci_Sbagliati_Social_Pack/03_CAROUSELS/CH08/CH08_01.jpg
Intrecci_Sbagliati_Social_Pack/03_CAROUSELS/CH08/CH08_02.jpg
Intrecci_Sbagliati_Social_Pack/03_CAROUSELS/CH08/CH08_03.jpg</x:v>
      </x:c>
      <x:c r="S21" s="81" t="str">
        <x:v>Intrecci_Sbagliati_Social_Pack/05_CAPTIONS/CH08_caption.txt</x:v>
      </x:c>
      <x:c r="T21" s="81" t="str">
        <x:v>https://diaridipelle.it/intrecci-sbagliati.html</x:v>
      </x:c>
    </x:row>
    <x:row r="22" ht="58" customHeight="1">
      <x:c r="A22" s="81" t="n">
        <x:v>21</x:v>
      </x:c>
      <x:c r="B22" s="81" t="n">
        <x:v>11</x:v>
      </x:c>
      <x:c r="C22" s="81" t="str">
        <x:v>A</x:v>
      </x:c>
      <x:c r="D22" s="81" t="n">
        <x:v>3</x:v>
      </x:c>
      <x:c r="E22" s="81" t="n">
        <x:v>70</x:v>
      </x:c>
      <x:c r="F22" s="90" t="n">
        <x:f>'CONFIG'!$B$8+(D22-1)*'CONFIG'!$B$14-'CONFIG'!$B$15</x:f>
        <x:v>46292</x:v>
      </x:c>
      <x:c r="G22" s="90" t="n">
        <x:f>'CONFIG'!$B$8+(B22-1)*7-'CONFIG'!$B$16</x:f>
        <x:v>46306</x:v>
      </x:c>
      <x:c r="H22" s="90" t="n">
        <x:f>'CONFIG'!$B$8+E22</x:f>
        <x:v>46308</x:v>
      </x:c>
      <x:c r="I22" s="90" t="n">
        <x:f>H22+1</x:f>
        <x:v>46309</x:v>
      </x:c>
      <x:c r="J22" s="90" t="n">
        <x:f>H22+2</x:f>
        <x:v>46310</x:v>
      </x:c>
      <x:c r="K22" s="81" t="str">
        <x:v>Intrecci Sbagliati</x:v>
      </x:c>
      <x:c r="L22" s="81" t="str">
        <x:v>CH09</x:v>
      </x:c>
      <x:c r="M22" s="81" t="str">
        <x:v>Virginia</x:v>
      </x:c>
      <x:c r="N22" s="81" t="str">
        <x:v>Intrecci_Sbagliati_Social_Pack.zip</x:v>
      </x:c>
      <x:c r="O22" s="81" t="str">
        <x:v>Intrecci_Sbagliati_Social_Pack/01_REELS/CH09_reel.mp4</x:v>
      </x:c>
      <x:c r="P22" s="81" t="str">
        <x:v>Intrecci_Sbagliati_Social_Pack/02_REEL_COVERS/CH09_cover.jpg</x:v>
      </x:c>
      <x:c r="Q22" s="81" t="str">
        <x:v>Intrecci_Sbagliati_Social_Pack/04_STORIES/CH09_story.jpg</x:v>
      </x:c>
      <x:c r="R22" s="81" t="str">
        <x:v>Intrecci_Sbagliati_Social_Pack/03_CAROUSELS/CH09/CH09_01.jpg
Intrecci_Sbagliati_Social_Pack/03_CAROUSELS/CH09/CH09_02.jpg
Intrecci_Sbagliati_Social_Pack/03_CAROUSELS/CH09/CH09_03.jpg</x:v>
      </x:c>
      <x:c r="S22" s="81" t="str">
        <x:v>Intrecci_Sbagliati_Social_Pack/05_CAPTIONS/CH09_caption.txt</x:v>
      </x:c>
      <x:c r="T22" s="81" t="str">
        <x:v>https://diaridipelle.it/intrecci-sbagliati.html</x:v>
      </x:c>
    </x:row>
    <x:row r="23" ht="58" customHeight="1">
      <x:c r="A23" s="81" t="n">
        <x:v>22</x:v>
      </x:c>
      <x:c r="B23" s="81" t="n">
        <x:v>11</x:v>
      </x:c>
      <x:c r="C23" s="81" t="str">
        <x:v>B</x:v>
      </x:c>
      <x:c r="D23" s="81" t="n">
        <x:v>3</x:v>
      </x:c>
      <x:c r="E23" s="81" t="n">
        <x:v>73</x:v>
      </x:c>
      <x:c r="F23" s="90" t="n">
        <x:f>'CONFIG'!$B$8+(D23-1)*'CONFIG'!$B$14-'CONFIG'!$B$15</x:f>
        <x:v>46292</x:v>
      </x:c>
      <x:c r="G23" s="90" t="n">
        <x:f>'CONFIG'!$B$8+(B23-1)*7-'CONFIG'!$B$16</x:f>
        <x:v>46306</x:v>
      </x:c>
      <x:c r="H23" s="90" t="n">
        <x:f>'CONFIG'!$B$8+E23</x:f>
        <x:v>46311</x:v>
      </x:c>
      <x:c r="I23" s="90" t="n">
        <x:f>H23+1</x:f>
        <x:v>46312</x:v>
      </x:c>
      <x:c r="J23" s="90" t="n">
        <x:f>H23+2</x:f>
        <x:v>46313</x:v>
      </x:c>
      <x:c r="K23" s="81" t="str">
        <x:v>Intrecci Sbagliati</x:v>
      </x:c>
      <x:c r="L23" s="81" t="str">
        <x:v>CH10</x:v>
      </x:c>
      <x:c r="M23" s="81" t="str">
        <x:v>Legame</x:v>
      </x:c>
      <x:c r="N23" s="81" t="str">
        <x:v>Intrecci_Sbagliati_Social_Pack.zip</x:v>
      </x:c>
      <x:c r="O23" s="81" t="str">
        <x:v>Intrecci_Sbagliati_Social_Pack/01_REELS/CH10_reel.mp4</x:v>
      </x:c>
      <x:c r="P23" s="81" t="str">
        <x:v>Intrecci_Sbagliati_Social_Pack/02_REEL_COVERS/CH10_cover.jpg</x:v>
      </x:c>
      <x:c r="Q23" s="81" t="str">
        <x:v>Intrecci_Sbagliati_Social_Pack/04_STORIES/CH10_story.jpg</x:v>
      </x:c>
      <x:c r="R23" s="81" t="str">
        <x:v>Intrecci_Sbagliati_Social_Pack/03_CAROUSELS/CH10/CH10_01.jpg
Intrecci_Sbagliati_Social_Pack/03_CAROUSELS/CH10/CH10_02.jpg
Intrecci_Sbagliati_Social_Pack/03_CAROUSELS/CH10/CH10_03.jpg</x:v>
      </x:c>
      <x:c r="S23" s="81" t="str">
        <x:v>Intrecci_Sbagliati_Social_Pack/05_CAPTIONS/CH10_caption.txt</x:v>
      </x:c>
      <x:c r="T23" s="81" t="str">
        <x:v>https://diaridipelle.it/intrecci-sbagliati.html</x:v>
      </x:c>
    </x:row>
    <x:row r="24" ht="58" customHeight="1">
      <x:c r="A24" s="81" t="n">
        <x:v>23</x:v>
      </x:c>
      <x:c r="B24" s="81" t="n">
        <x:v>12</x:v>
      </x:c>
      <x:c r="C24" s="81" t="str">
        <x:v>A</x:v>
      </x:c>
      <x:c r="D24" s="81" t="n">
        <x:v>3</x:v>
      </x:c>
      <x:c r="E24" s="81" t="n">
        <x:v>77</x:v>
      </x:c>
      <x:c r="F24" s="90" t="n">
        <x:f>'CONFIG'!$B$8+(D24-1)*'CONFIG'!$B$14-'CONFIG'!$B$15</x:f>
        <x:v>46292</x:v>
      </x:c>
      <x:c r="G24" s="90" t="n">
        <x:f>'CONFIG'!$B$8+(B24-1)*7-'CONFIG'!$B$16</x:f>
        <x:v>46313</x:v>
      </x:c>
      <x:c r="H24" s="90" t="n">
        <x:f>'CONFIG'!$B$8+E24</x:f>
        <x:v>46315</x:v>
      </x:c>
      <x:c r="I24" s="90" t="n">
        <x:f>H24+1</x:f>
        <x:v>46316</x:v>
      </x:c>
      <x:c r="J24" s="90" t="n">
        <x:f>H24+2</x:f>
        <x:v>46317</x:v>
      </x:c>
      <x:c r="K24" s="81" t="str">
        <x:v>Legami</x:v>
      </x:c>
      <x:c r="L24" s="81" t="str">
        <x:v>TRAILER</x:v>
      </x:c>
      <x:c r="M24" s="81" t="str">
        <x:v>Legămi</x:v>
      </x:c>
      <x:c r="N24" s="81" t="str">
        <x:v>Legami_Social_Pack.zip</x:v>
      </x:c>
      <x:c r="O24" s="81" t="str">
        <x:v>Legami_Social_Pack/01_REELS/TRAILER_reel.mp4</x:v>
      </x:c>
      <x:c r="P24" s="81" t="str">
        <x:v>Legami_Social_Pack/02_REEL_COVERS/TRAILER_cover.jpg</x:v>
      </x:c>
      <x:c r="Q24" s="81" t="str">
        <x:v>Legami_Social_Pack/04_STORIES/TRAILER_story.jpg</x:v>
      </x:c>
      <x:c r="R24" s="81" t="str">
        <x:v>Legami_Social_Pack/03_CAROUSELS/TRAILER/TRAILER_01.jpg
Legami_Social_Pack/03_CAROUSELS/TRAILER/TRAILER_02.jpg
Legami_Social_Pack/03_CAROUSELS/TRAILER/TRAILER_03.jpg</x:v>
      </x:c>
      <x:c r="S24" s="81" t="str">
        <x:v>Legami_Social_Pack/05_CAPTIONS/TRAILER_caption.txt</x:v>
      </x:c>
      <x:c r="T24" s="81" t="str">
        <x:v>https://diaridipelle.it/legami.html</x:v>
      </x:c>
    </x:row>
    <x:row r="25" ht="58" customHeight="1">
      <x:c r="A25" s="81" t="n">
        <x:v>24</x:v>
      </x:c>
      <x:c r="B25" s="81" t="n">
        <x:v>12</x:v>
      </x:c>
      <x:c r="C25" s="81" t="str">
        <x:v>B</x:v>
      </x:c>
      <x:c r="D25" s="81" t="n">
        <x:v>3</x:v>
      </x:c>
      <x:c r="E25" s="81" t="n">
        <x:v>80</x:v>
      </x:c>
      <x:c r="F25" s="90" t="n">
        <x:f>'CONFIG'!$B$8+(D25-1)*'CONFIG'!$B$14-'CONFIG'!$B$15</x:f>
        <x:v>46292</x:v>
      </x:c>
      <x:c r="G25" s="90" t="n">
        <x:f>'CONFIG'!$B$8+(B25-1)*7-'CONFIG'!$B$16</x:f>
        <x:v>46313</x:v>
      </x:c>
      <x:c r="H25" s="90" t="n">
        <x:f>'CONFIG'!$B$8+E25</x:f>
        <x:v>46318</x:v>
      </x:c>
      <x:c r="I25" s="90" t="n">
        <x:f>H25+1</x:f>
        <x:v>46319</x:v>
      </x:c>
      <x:c r="J25" s="90" t="n">
        <x:f>H25+2</x:f>
        <x:v>46320</x:v>
      </x:c>
      <x:c r="K25" s="81" t="str">
        <x:v>Legami</x:v>
      </x:c>
      <x:c r="L25" s="81" t="str">
        <x:v>CH01</x:v>
      </x:c>
      <x:c r="M25" s="81" t="str">
        <x:v>Il Collare</x:v>
      </x:c>
      <x:c r="N25" s="81" t="str">
        <x:v>Legami_Social_Pack.zip</x:v>
      </x:c>
      <x:c r="O25" s="81" t="str">
        <x:v>Legami_Social_Pack/01_REELS/CH01_reel.mp4</x:v>
      </x:c>
      <x:c r="P25" s="81" t="str">
        <x:v>Legami_Social_Pack/02_REEL_COVERS/CH01_cover.jpg</x:v>
      </x:c>
      <x:c r="Q25" s="81" t="str">
        <x:v>Legami_Social_Pack/04_STORIES/CH01_story.jpg</x:v>
      </x:c>
      <x:c r="R25" s="81" t="str">
        <x:v>Legami_Social_Pack/03_CAROUSELS/CH01/CH01_01.jpg
Legami_Social_Pack/03_CAROUSELS/CH01/CH01_02.jpg
Legami_Social_Pack/03_CAROUSELS/CH01/CH01_03.jpg</x:v>
      </x:c>
      <x:c r="S25" s="81" t="str">
        <x:v>Legami_Social_Pack/05_CAPTIONS/CH01_caption.txt</x:v>
      </x:c>
      <x:c r="T25" s="81" t="str">
        <x:v>https://diaridipelle.it/legami.html</x:v>
      </x:c>
    </x:row>
    <x:row r="26" ht="58" customHeight="1">
      <x:c r="A26" s="81" t="n">
        <x:v>25</x:v>
      </x:c>
      <x:c r="B26" s="81" t="n">
        <x:v>13</x:v>
      </x:c>
      <x:c r="C26" s="81" t="str">
        <x:v>A</x:v>
      </x:c>
      <x:c r="D26" s="81" t="n">
        <x:v>4</x:v>
      </x:c>
      <x:c r="E26" s="81" t="n">
        <x:v>84</x:v>
      </x:c>
      <x:c r="F26" s="90" t="n">
        <x:f>'CONFIG'!$B$8+(D26-1)*'CONFIG'!$B$14-'CONFIG'!$B$15</x:f>
        <x:v>46320</x:v>
      </x:c>
      <x:c r="G26" s="90" t="n">
        <x:f>'CONFIG'!$B$8+(B26-1)*7-'CONFIG'!$B$16</x:f>
        <x:v>46320</x:v>
      </x:c>
      <x:c r="H26" s="90" t="n">
        <x:f>'CONFIG'!$B$8+E26</x:f>
        <x:v>46322</x:v>
      </x:c>
      <x:c r="I26" s="90" t="n">
        <x:f>H26+1</x:f>
        <x:v>46323</x:v>
      </x:c>
      <x:c r="J26" s="90" t="n">
        <x:f>H26+2</x:f>
        <x:v>46324</x:v>
      </x:c>
      <x:c r="K26" s="81" t="str">
        <x:v>Legami</x:v>
      </x:c>
      <x:c r="L26" s="81" t="str">
        <x:v>CH02</x:v>
      </x:c>
      <x:c r="M26" s="81" t="str">
        <x:v>La Benda</x:v>
      </x:c>
      <x:c r="N26" s="81" t="str">
        <x:v>Legami_Social_Pack.zip</x:v>
      </x:c>
      <x:c r="O26" s="81" t="str">
        <x:v>Legami_Social_Pack/01_REELS/CH02_reel.mp4</x:v>
      </x:c>
      <x:c r="P26" s="81" t="str">
        <x:v>Legami_Social_Pack/02_REEL_COVERS/CH02_cover.jpg</x:v>
      </x:c>
      <x:c r="Q26" s="81" t="str">
        <x:v>Legami_Social_Pack/04_STORIES/CH02_story.jpg</x:v>
      </x:c>
      <x:c r="R26" s="81" t="str">
        <x:v>Legami_Social_Pack/03_CAROUSELS/CH02/CH02_01.jpg
Legami_Social_Pack/03_CAROUSELS/CH02/CH02_02.jpg
Legami_Social_Pack/03_CAROUSELS/CH02/CH02_03.jpg</x:v>
      </x:c>
      <x:c r="S26" s="81" t="str">
        <x:v>Legami_Social_Pack/05_CAPTIONS/CH02_caption.txt</x:v>
      </x:c>
      <x:c r="T26" s="81" t="str">
        <x:v>https://diaridipelle.it/legami.html</x:v>
      </x:c>
    </x:row>
    <x:row r="27" ht="58" customHeight="1">
      <x:c r="A27" s="81" t="n">
        <x:v>26</x:v>
      </x:c>
      <x:c r="B27" s="81" t="n">
        <x:v>13</x:v>
      </x:c>
      <x:c r="C27" s="81" t="str">
        <x:v>B</x:v>
      </x:c>
      <x:c r="D27" s="81" t="n">
        <x:v>4</x:v>
      </x:c>
      <x:c r="E27" s="81" t="n">
        <x:v>87</x:v>
      </x:c>
      <x:c r="F27" s="90" t="n">
        <x:f>'CONFIG'!$B$8+(D27-1)*'CONFIG'!$B$14-'CONFIG'!$B$15</x:f>
        <x:v>46320</x:v>
      </x:c>
      <x:c r="G27" s="90" t="n">
        <x:f>'CONFIG'!$B$8+(B27-1)*7-'CONFIG'!$B$16</x:f>
        <x:v>46320</x:v>
      </x:c>
      <x:c r="H27" s="90" t="n">
        <x:f>'CONFIG'!$B$8+E27</x:f>
        <x:v>46325</x:v>
      </x:c>
      <x:c r="I27" s="90" t="n">
        <x:f>H27+1</x:f>
        <x:v>46326</x:v>
      </x:c>
      <x:c r="J27" s="90" t="n">
        <x:f>H27+2</x:f>
        <x:v>46327</x:v>
      </x:c>
      <x:c r="K27" s="81" t="str">
        <x:v>Legami</x:v>
      </x:c>
      <x:c r="L27" s="81" t="str">
        <x:v>CH03</x:v>
      </x:c>
      <x:c r="M27" s="81" t="str">
        <x:v>Il Guinzaglio</x:v>
      </x:c>
      <x:c r="N27" s="81" t="str">
        <x:v>Legami_Social_Pack.zip</x:v>
      </x:c>
      <x:c r="O27" s="81" t="str">
        <x:v>Legami_Social_Pack/01_REELS/CH03_reel.mp4</x:v>
      </x:c>
      <x:c r="P27" s="81" t="str">
        <x:v>Legami_Social_Pack/02_REEL_COVERS/CH03_cover.jpg</x:v>
      </x:c>
      <x:c r="Q27" s="81" t="str">
        <x:v>Legami_Social_Pack/04_STORIES/CH03_story.jpg</x:v>
      </x:c>
      <x:c r="R27" s="81" t="str">
        <x:v>Legami_Social_Pack/03_CAROUSELS/CH03/CH03_01.jpg
Legami_Social_Pack/03_CAROUSELS/CH03/CH03_02.jpg
Legami_Social_Pack/03_CAROUSELS/CH03/CH03_03.jpg</x:v>
      </x:c>
      <x:c r="S27" s="81" t="str">
        <x:v>Legami_Social_Pack/05_CAPTIONS/CH03_caption.txt</x:v>
      </x:c>
      <x:c r="T27" s="81" t="str">
        <x:v>https://diaridipelle.it/legami.html</x:v>
      </x:c>
    </x:row>
    <x:row r="28" ht="58" customHeight="1">
      <x:c r="A28" s="81" t="n">
        <x:v>27</x:v>
      </x:c>
      <x:c r="B28" s="81" t="n">
        <x:v>14</x:v>
      </x:c>
      <x:c r="C28" s="81" t="str">
        <x:v>A</x:v>
      </x:c>
      <x:c r="D28" s="81" t="n">
        <x:v>4</x:v>
      </x:c>
      <x:c r="E28" s="81" t="n">
        <x:v>91</x:v>
      </x:c>
      <x:c r="F28" s="90" t="n">
        <x:f>'CONFIG'!$B$8+(D28-1)*'CONFIG'!$B$14-'CONFIG'!$B$15</x:f>
        <x:v>46320</x:v>
      </x:c>
      <x:c r="G28" s="90" t="n">
        <x:f>'CONFIG'!$B$8+(B28-1)*7-'CONFIG'!$B$16</x:f>
        <x:v>46327</x:v>
      </x:c>
      <x:c r="H28" s="90" t="n">
        <x:f>'CONFIG'!$B$8+E28</x:f>
        <x:v>46329</x:v>
      </x:c>
      <x:c r="I28" s="90" t="n">
        <x:f>H28+1</x:f>
        <x:v>46330</x:v>
      </x:c>
      <x:c r="J28" s="90" t="n">
        <x:f>H28+2</x:f>
        <x:v>46331</x:v>
      </x:c>
      <x:c r="K28" s="81" t="str">
        <x:v>Legami</x:v>
      </x:c>
      <x:c r="L28" s="81" t="str">
        <x:v>CH04</x:v>
      </x:c>
      <x:c r="M28" s="81" t="str">
        <x:v>Il Nodo</x:v>
      </x:c>
      <x:c r="N28" s="81" t="str">
        <x:v>Legami_Social_Pack.zip</x:v>
      </x:c>
      <x:c r="O28" s="81" t="str">
        <x:v>Legami_Social_Pack/01_REELS/CH04_reel.mp4</x:v>
      </x:c>
      <x:c r="P28" s="81" t="str">
        <x:v>Legami_Social_Pack/02_REEL_COVERS/CH04_cover.jpg</x:v>
      </x:c>
      <x:c r="Q28" s="81" t="str">
        <x:v>Legami_Social_Pack/04_STORIES/CH04_story.jpg</x:v>
      </x:c>
      <x:c r="R28" s="81" t="str">
        <x:v>Legami_Social_Pack/03_CAROUSELS/CH04/CH04_01.jpg
Legami_Social_Pack/03_CAROUSELS/CH04/CH04_02.jpg
Legami_Social_Pack/03_CAROUSELS/CH04/CH04_03.jpg</x:v>
      </x:c>
      <x:c r="S28" s="81" t="str">
        <x:v>Legami_Social_Pack/05_CAPTIONS/CH04_caption.txt</x:v>
      </x:c>
      <x:c r="T28" s="81" t="str">
        <x:v>https://diaridipelle.it/legami.html</x:v>
      </x:c>
    </x:row>
    <x:row r="29" ht="58" customHeight="1">
      <x:c r="A29" s="81" t="n">
        <x:v>28</x:v>
      </x:c>
      <x:c r="B29" s="81" t="n">
        <x:v>14</x:v>
      </x:c>
      <x:c r="C29" s="81" t="str">
        <x:v>B</x:v>
      </x:c>
      <x:c r="D29" s="81" t="n">
        <x:v>4</x:v>
      </x:c>
      <x:c r="E29" s="81" t="n">
        <x:v>94</x:v>
      </x:c>
      <x:c r="F29" s="90" t="n">
        <x:f>'CONFIG'!$B$8+(D29-1)*'CONFIG'!$B$14-'CONFIG'!$B$15</x:f>
        <x:v>46320</x:v>
      </x:c>
      <x:c r="G29" s="90" t="n">
        <x:f>'CONFIG'!$B$8+(B29-1)*7-'CONFIG'!$B$16</x:f>
        <x:v>46327</x:v>
      </x:c>
      <x:c r="H29" s="90" t="n">
        <x:f>'CONFIG'!$B$8+E29</x:f>
        <x:v>46332</x:v>
      </x:c>
      <x:c r="I29" s="90" t="n">
        <x:f>H29+1</x:f>
        <x:v>46333</x:v>
      </x:c>
      <x:c r="J29" s="90" t="n">
        <x:f>H29+2</x:f>
        <x:v>46334</x:v>
      </x:c>
      <x:c r="K29" s="81" t="str">
        <x:v>Legami</x:v>
      </x:c>
      <x:c r="L29" s="81" t="str">
        <x:v>CH05</x:v>
      </x:c>
      <x:c r="M29" s="81" t="str">
        <x:v>Il Morso</x:v>
      </x:c>
      <x:c r="N29" s="81" t="str">
        <x:v>Legami_Social_Pack.zip</x:v>
      </x:c>
      <x:c r="O29" s="81" t="str">
        <x:v>Legami_Social_Pack/01_REELS/CH05_reel.mp4</x:v>
      </x:c>
      <x:c r="P29" s="81" t="str">
        <x:v>Legami_Social_Pack/02_REEL_COVERS/CH05_cover.jpg</x:v>
      </x:c>
      <x:c r="Q29" s="81" t="str">
        <x:v>Legami_Social_Pack/04_STORIES/CH05_story.jpg</x:v>
      </x:c>
      <x:c r="R29" s="81" t="str">
        <x:v>Legami_Social_Pack/03_CAROUSELS/CH05/CH05_01.jpg
Legami_Social_Pack/03_CAROUSELS/CH05/CH05_02.jpg
Legami_Social_Pack/03_CAROUSELS/CH05/CH05_03.jpg</x:v>
      </x:c>
      <x:c r="S29" s="81" t="str">
        <x:v>Legami_Social_Pack/05_CAPTIONS/CH05_caption.txt</x:v>
      </x:c>
      <x:c r="T29" s="81" t="str">
        <x:v>https://diaridipelle.it/legami.html</x:v>
      </x:c>
    </x:row>
    <x:row r="30" ht="58" customHeight="1">
      <x:c r="A30" s="81" t="n">
        <x:v>29</x:v>
      </x:c>
      <x:c r="B30" s="81" t="n">
        <x:v>15</x:v>
      </x:c>
      <x:c r="C30" s="81" t="str">
        <x:v>A</x:v>
      </x:c>
      <x:c r="D30" s="81" t="n">
        <x:v>4</x:v>
      </x:c>
      <x:c r="E30" s="81" t="n">
        <x:v>98</x:v>
      </x:c>
      <x:c r="F30" s="90" t="n">
        <x:f>'CONFIG'!$B$8+(D30-1)*'CONFIG'!$B$14-'CONFIG'!$B$15</x:f>
        <x:v>46320</x:v>
      </x:c>
      <x:c r="G30" s="90" t="n">
        <x:f>'CONFIG'!$B$8+(B30-1)*7-'CONFIG'!$B$16</x:f>
        <x:v>46334</x:v>
      </x:c>
      <x:c r="H30" s="90" t="n">
        <x:f>'CONFIG'!$B$8+E30</x:f>
        <x:v>46336</x:v>
      </x:c>
      <x:c r="I30" s="90" t="n">
        <x:f>H30+1</x:f>
        <x:v>46337</x:v>
      </x:c>
      <x:c r="J30" s="90" t="n">
        <x:f>H30+2</x:f>
        <x:v>46338</x:v>
      </x:c>
      <x:c r="K30" s="81" t="str">
        <x:v>Legami</x:v>
      </x:c>
      <x:c r="L30" s="81" t="str">
        <x:v>CH06</x:v>
      </x:c>
      <x:c r="M30" s="81" t="str">
        <x:v>Le redini</x:v>
      </x:c>
      <x:c r="N30" s="81" t="str">
        <x:v>Legami_Social_Pack.zip</x:v>
      </x:c>
      <x:c r="O30" s="81" t="str">
        <x:v>Legami_Social_Pack/01_REELS/CH06_reel.mp4</x:v>
      </x:c>
      <x:c r="P30" s="81" t="str">
        <x:v>Legami_Social_Pack/02_REEL_COVERS/CH06_cover.jpg</x:v>
      </x:c>
      <x:c r="Q30" s="81" t="str">
        <x:v>Legami_Social_Pack/04_STORIES/CH06_story.jpg</x:v>
      </x:c>
      <x:c r="R30" s="81" t="str">
        <x:v>Legami_Social_Pack/03_CAROUSELS/CH06/CH06_01.jpg
Legami_Social_Pack/03_CAROUSELS/CH06/CH06_02.jpg
Legami_Social_Pack/03_CAROUSELS/CH06/CH06_03.jpg</x:v>
      </x:c>
      <x:c r="S30" s="81" t="str">
        <x:v>Legami_Social_Pack/05_CAPTIONS/CH06_caption.txt</x:v>
      </x:c>
      <x:c r="T30" s="81" t="str">
        <x:v>https://diaridipelle.it/legami.html</x:v>
      </x:c>
    </x:row>
    <x:row r="31" ht="58" customHeight="1">
      <x:c r="A31" s="81" t="n">
        <x:v>30</x:v>
      </x:c>
      <x:c r="B31" s="81" t="n">
        <x:v>15</x:v>
      </x:c>
      <x:c r="C31" s="81" t="str">
        <x:v>B</x:v>
      </x:c>
      <x:c r="D31" s="81" t="n">
        <x:v>4</x:v>
      </x:c>
      <x:c r="E31" s="81" t="n">
        <x:v>101</x:v>
      </x:c>
      <x:c r="F31" s="90" t="n">
        <x:f>'CONFIG'!$B$8+(D31-1)*'CONFIG'!$B$14-'CONFIG'!$B$15</x:f>
        <x:v>46320</x:v>
      </x:c>
      <x:c r="G31" s="90" t="n">
        <x:f>'CONFIG'!$B$8+(B31-1)*7-'CONFIG'!$B$16</x:f>
        <x:v>46334</x:v>
      </x:c>
      <x:c r="H31" s="90" t="n">
        <x:f>'CONFIG'!$B$8+E31</x:f>
        <x:v>46339</x:v>
      </x:c>
      <x:c r="I31" s="90" t="n">
        <x:f>H31+1</x:f>
        <x:v>46340</x:v>
      </x:c>
      <x:c r="J31" s="90" t="n">
        <x:f>H31+2</x:f>
        <x:v>46341</x:v>
      </x:c>
      <x:c r="K31" s="81" t="str">
        <x:v>Legami</x:v>
      </x:c>
      <x:c r="L31" s="81" t="str">
        <x:v>CH07</x:v>
      </x:c>
      <x:c r="M31" s="81" t="str">
        <x:v>La catena</x:v>
      </x:c>
      <x:c r="N31" s="81" t="str">
        <x:v>Legami_Social_Pack.zip</x:v>
      </x:c>
      <x:c r="O31" s="81" t="str">
        <x:v>Legami_Social_Pack/01_REELS/CH07_reel.mp4</x:v>
      </x:c>
      <x:c r="P31" s="81" t="str">
        <x:v>Legami_Social_Pack/02_REEL_COVERS/CH07_cover.jpg</x:v>
      </x:c>
      <x:c r="Q31" s="81" t="str">
        <x:v>Legami_Social_Pack/04_STORIES/CH07_story.jpg</x:v>
      </x:c>
      <x:c r="R31" s="81" t="str">
        <x:v>Legami_Social_Pack/03_CAROUSELS/CH07/CH07_01.jpg
Legami_Social_Pack/03_CAROUSELS/CH07/CH07_02.jpg
Legami_Social_Pack/03_CAROUSELS/CH07/CH07_03.jpg</x:v>
      </x:c>
      <x:c r="S31" s="81" t="str">
        <x:v>Legami_Social_Pack/05_CAPTIONS/CH07_caption.txt</x:v>
      </x:c>
      <x:c r="T31" s="81" t="str">
        <x:v>https://diaridipelle.it/legami.html</x:v>
      </x:c>
    </x:row>
    <x:row r="32" ht="58" customHeight="1">
      <x:c r="A32" s="81" t="n">
        <x:v>31</x:v>
      </x:c>
      <x:c r="B32" s="81" t="n">
        <x:v>16</x:v>
      </x:c>
      <x:c r="C32" s="81" t="str">
        <x:v>A</x:v>
      </x:c>
      <x:c r="D32" s="81" t="n">
        <x:v>4</x:v>
      </x:c>
      <x:c r="E32" s="81" t="n">
        <x:v>105</x:v>
      </x:c>
      <x:c r="F32" s="90" t="n">
        <x:f>'CONFIG'!$B$8+(D32-1)*'CONFIG'!$B$14-'CONFIG'!$B$15</x:f>
        <x:v>46320</x:v>
      </x:c>
      <x:c r="G32" s="90" t="n">
        <x:f>'CONFIG'!$B$8+(B32-1)*7-'CONFIG'!$B$16</x:f>
        <x:v>46341</x:v>
      </x:c>
      <x:c r="H32" s="90" t="n">
        <x:f>'CONFIG'!$B$8+E32</x:f>
        <x:v>46343</x:v>
      </x:c>
      <x:c r="I32" s="90" t="n">
        <x:f>H32+1</x:f>
        <x:v>46344</x:v>
      </x:c>
      <x:c r="J32" s="90" t="n">
        <x:f>H32+2</x:f>
        <x:v>46345</x:v>
      </x:c>
      <x:c r="K32" s="81" t="str">
        <x:v>Legami</x:v>
      </x:c>
      <x:c r="L32" s="81" t="str">
        <x:v>CH08</x:v>
      </x:c>
      <x:c r="M32" s="81" t="str">
        <x:v>La chiave sbagliata</x:v>
      </x:c>
      <x:c r="N32" s="81" t="str">
        <x:v>Legami_Social_Pack.zip</x:v>
      </x:c>
      <x:c r="O32" s="81" t="str">
        <x:v>Legami_Social_Pack/01_REELS/CH08_reel.mp4</x:v>
      </x:c>
      <x:c r="P32" s="81" t="str">
        <x:v>Legami_Social_Pack/02_REEL_COVERS/CH08_cover.jpg</x:v>
      </x:c>
      <x:c r="Q32" s="81" t="str">
        <x:v>Legami_Social_Pack/04_STORIES/CH08_story.jpg</x:v>
      </x:c>
      <x:c r="R32" s="81" t="str">
        <x:v>Legami_Social_Pack/03_CAROUSELS/CH08/CH08_01.jpg
Legami_Social_Pack/03_CAROUSELS/CH08/CH08_02.jpg
Legami_Social_Pack/03_CAROUSELS/CH08/CH08_03.jpg</x:v>
      </x:c>
      <x:c r="S32" s="81" t="str">
        <x:v>Legami_Social_Pack/05_CAPTIONS/CH08_caption.txt</x:v>
      </x:c>
      <x:c r="T32" s="81" t="str">
        <x:v>https://diaridipelle.it/legami.html</x:v>
      </x:c>
    </x:row>
    <x:row r="33" ht="58" customHeight="1">
      <x:c r="A33" s="81" t="n">
        <x:v>32</x:v>
      </x:c>
      <x:c r="B33" s="81" t="n">
        <x:v>16</x:v>
      </x:c>
      <x:c r="C33" s="81" t="str">
        <x:v>B</x:v>
      </x:c>
      <x:c r="D33" s="81" t="n">
        <x:v>4</x:v>
      </x:c>
      <x:c r="E33" s="81" t="n">
        <x:v>108</x:v>
      </x:c>
      <x:c r="F33" s="90" t="n">
        <x:f>'CONFIG'!$B$8+(D33-1)*'CONFIG'!$B$14-'CONFIG'!$B$15</x:f>
        <x:v>46320</x:v>
      </x:c>
      <x:c r="G33" s="90" t="n">
        <x:f>'CONFIG'!$B$8+(B33-1)*7-'CONFIG'!$B$16</x:f>
        <x:v>46341</x:v>
      </x:c>
      <x:c r="H33" s="90" t="n">
        <x:f>'CONFIG'!$B$8+E33</x:f>
        <x:v>46346</x:v>
      </x:c>
      <x:c r="I33" s="90" t="n">
        <x:f>H33+1</x:f>
        <x:v>46347</x:v>
      </x:c>
      <x:c r="J33" s="90" t="n">
        <x:f>H33+2</x:f>
        <x:v>46348</x:v>
      </x:c>
      <x:c r="K33" s="81" t="str">
        <x:v>Legami</x:v>
      </x:c>
      <x:c r="L33" s="81" t="str">
        <x:v>CH09</x:v>
      </x:c>
      <x:c r="M33" s="81" t="str">
        <x:v>Safe Word</x:v>
      </x:c>
      <x:c r="N33" s="81" t="str">
        <x:v>Legami_Social_Pack.zip</x:v>
      </x:c>
      <x:c r="O33" s="81" t="str">
        <x:v>Legami_Social_Pack/01_REELS/CH09_reel.mp4</x:v>
      </x:c>
      <x:c r="P33" s="81" t="str">
        <x:v>Legami_Social_Pack/02_REEL_COVERS/CH09_cover.jpg</x:v>
      </x:c>
      <x:c r="Q33" s="81" t="str">
        <x:v>Legami_Social_Pack/04_STORIES/CH09_story.jpg</x:v>
      </x:c>
      <x:c r="R33" s="81" t="str">
        <x:v>Legami_Social_Pack/03_CAROUSELS/CH09/CH09_01.jpg
Legami_Social_Pack/03_CAROUSELS/CH09/CH09_02.jpg
Legami_Social_Pack/03_CAROUSELS/CH09/CH09_03.jpg</x:v>
      </x:c>
      <x:c r="S33" s="81" t="str">
        <x:v>Legami_Social_Pack/05_CAPTIONS/CH09_caption.txt</x:v>
      </x:c>
      <x:c r="T33" s="81" t="str">
        <x:v>https://diaridipelle.it/legami.html</x:v>
      </x:c>
    </x:row>
    <x:row r="34" ht="58" customHeight="1">
      <x:c r="A34" s="81" t="n">
        <x:v>33</x:v>
      </x:c>
      <x:c r="B34" s="81" t="n">
        <x:v>17</x:v>
      </x:c>
      <x:c r="C34" s="81" t="str">
        <x:v>A</x:v>
      </x:c>
      <x:c r="D34" s="81" t="n">
        <x:v>5</x:v>
      </x:c>
      <x:c r="E34" s="81" t="n">
        <x:v>112</x:v>
      </x:c>
      <x:c r="F34" s="90" t="n">
        <x:f>'CONFIG'!$B$8+(D34-1)*'CONFIG'!$B$14-'CONFIG'!$B$15</x:f>
        <x:v>46348</x:v>
      </x:c>
      <x:c r="G34" s="90" t="n">
        <x:f>'CONFIG'!$B$8+(B34-1)*7-'CONFIG'!$B$16</x:f>
        <x:v>46348</x:v>
      </x:c>
      <x:c r="H34" s="90" t="n">
        <x:f>'CONFIG'!$B$8+E34</x:f>
        <x:v>46350</x:v>
      </x:c>
      <x:c r="I34" s="90" t="n">
        <x:f>H34+1</x:f>
        <x:v>46351</x:v>
      </x:c>
      <x:c r="J34" s="90" t="n">
        <x:f>H34+2</x:f>
        <x:v>46352</x:v>
      </x:c>
      <x:c r="K34" s="81" t="str">
        <x:v>Legami</x:v>
      </x:c>
      <x:c r="L34" s="81" t="str">
        <x:v>CH10</x:v>
      </x:c>
      <x:c r="M34" s="81" t="str">
        <x:v>La sospensione</x:v>
      </x:c>
      <x:c r="N34" s="81" t="str">
        <x:v>Legami_Social_Pack.zip</x:v>
      </x:c>
      <x:c r="O34" s="81" t="str">
        <x:v>Legami_Social_Pack/01_REELS/CH10_reel.mp4</x:v>
      </x:c>
      <x:c r="P34" s="81" t="str">
        <x:v>Legami_Social_Pack/02_REEL_COVERS/CH10_cover.jpg</x:v>
      </x:c>
      <x:c r="Q34" s="81" t="str">
        <x:v>Legami_Social_Pack/04_STORIES/CH10_story.jpg</x:v>
      </x:c>
      <x:c r="R34" s="81" t="str">
        <x:v>Legami_Social_Pack/03_CAROUSELS/CH10/CH10_01.jpg
Legami_Social_Pack/03_CAROUSELS/CH10/CH10_02.jpg
Legami_Social_Pack/03_CAROUSELS/CH10/CH10_03.jpg</x:v>
      </x:c>
      <x:c r="S34" s="81" t="str">
        <x:v>Legami_Social_Pack/05_CAPTIONS/CH10_caption.txt</x:v>
      </x:c>
      <x:c r="T34" s="81" t="str">
        <x:v>https://diaridipelle.it/legami.html</x:v>
      </x:c>
    </x:row>
    <x:row r="35" ht="58" customHeight="1">
      <x:c r="A35" s="82" t="n">
        <x:v>34</x:v>
      </x:c>
      <x:c r="B35" s="82" t="n">
        <x:v>17</x:v>
      </x:c>
      <x:c r="C35" s="82" t="str">
        <x:v>B</x:v>
      </x:c>
      <x:c r="D35" s="82" t="n">
        <x:v>5</x:v>
      </x:c>
      <x:c r="E35" s="82" t="n">
        <x:v>115</x:v>
      </x:c>
      <x:c r="F35" s="91" t="n">
        <x:f>'CONFIG'!$B$8+(D35-1)*'CONFIG'!$B$14-'CONFIG'!$B$15</x:f>
        <x:v>46348</x:v>
      </x:c>
      <x:c r="G35" s="91" t="n">
        <x:f>'CONFIG'!$B$8+(B35-1)*7-'CONFIG'!$B$16</x:f>
        <x:v>46348</x:v>
      </x:c>
      <x:c r="H35" s="91" t="n">
        <x:f>'CONFIG'!$B$8+E35</x:f>
        <x:v>46353</x:v>
      </x:c>
      <x:c r="I35" s="91" t="n">
        <x:f>H35+1</x:f>
        <x:v>46354</x:v>
      </x:c>
      <x:c r="J35" s="91" t="n">
        <x:f>H35+2</x:f>
        <x:v>46355</x:v>
      </x:c>
      <x:c r="K35" s="82" t="str">
        <x:v>Legami</x:v>
      </x:c>
      <x:c r="L35" s="82" t="str">
        <x:v>EXTRA</x:v>
      </x:c>
      <x:c r="M35" s="82" t="str">
        <x:v>Il legame che torna</x:v>
      </x:c>
      <x:c r="N35" s="82" t="str">
        <x:v>Legami_Social_Pack.zip</x:v>
      </x:c>
      <x:c r="O35" s="82" t="str">
        <x:v>Legami_Social_Pack/01_REELS/EXTRA_reel.mp4</x:v>
      </x:c>
      <x:c r="P35" s="82" t="str">
        <x:v>Legami_Social_Pack/02_REEL_COVERS/EXTRA_cover.jpg</x:v>
      </x:c>
      <x:c r="Q35" s="82" t="str">
        <x:v>Legami_Social_Pack/04_STORIES/EXTRA_story.jpg</x:v>
      </x:c>
      <x:c r="R35" s="82" t="str">
        <x:v>Legami_Social_Pack/03_CAROUSELS/EXTRA/EXTRA_01.jpg
Legami_Social_Pack/03_CAROUSELS/EXTRA/EXTRA_02.jpg
Legami_Social_Pack/03_CAROUSELS/EXTRA/EXTRA_03.jpg</x:v>
      </x:c>
      <x:c r="S35" s="82" t="str">
        <x:v>Legami_Social_Pack/05_CAPTIONS/EXTRA_caption.txt</x:v>
      </x:c>
      <x:c r="T35" s="82" t="str">
        <x:v>https://diaridipelle.it/legami.html</x:v>
      </x:c>
    </x:row>
  </x:sheetData>
  <x:pageMargins left="0.7" right="0.7" top="0.75" bottom="0.75" header="0.3" footer="0.3"/>
  <x:tableParts count="1">
    <x:tablePart xmlns:r="http://schemas.openxmlformats.org/officeDocument/2006/relationships" r:id="Rdff09d7a49854bd5"/>
  </x:tableParts>
</x:worksheet>
</file>