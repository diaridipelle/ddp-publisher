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GIMI" sheetId="1" r:id="rId5"/>
    <sheet state="visible" name="CONFIG" sheetId="2" r:id="rId6"/>
    <sheet state="visible" name="SESSIONI" sheetId="3" r:id="rId7"/>
    <sheet state="visible" name="CALENDARIO" sheetId="4" r:id="rId8"/>
    <sheet state="visible" name="TESTI" sheetId="5" r:id="rId9"/>
    <sheet state="visible" name="CAMPAGNE"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tc={83aaafc2-414c-41ee-b7c9-4c8e3e3dafb3}</author>
  </authors>
  <commentList>
    <comment authorId="0" ref="B8">
      <text>
        <t xml:space="preserve">[Threaded comment]
Your version of Excel allows you to read this threaded comment; however, any edits to it will get removed if the file is opened in a newer version of Excel. Learn more: https://go.microsoft.com/fwlink/?linkid=870924
Comment:
    Formula automatica: usa la data bloccata quando presente; altrimenti sceglie la data più tarda fra la data minima e il prossimo martedì utile, lasciando i giorni di preparazione indicati.</t>
      </text>
    </comment>
    <comment authorId="1" xr:uid="{83aaafc2-414c-41ee-b7c9-4c8e3e3dafb3}" ref="B8">
      <text>
        <t xml:space="preserve">[Threaded comment]
 Your version of Excel allows you to read this threaded comment; however, any edits to it will get removed if the file is opened in a newer version of Excel. Learn more: https://go.microsoft.com/fwlink/?linkid=870924
Comment:
	Formula automatica: usa la data bloccata quando presente; altrimenti sceglie la data più tarda fra la data minima e il prossimo martedì utile, lasciando i giorni di preparazione indicati.
</t>
      </text>
    </comment>
  </commentList>
</comments>
</file>

<file path=xl/sharedStrings.xml><?xml version="1.0" encoding="utf-8"?>
<sst xmlns="http://schemas.openxmlformats.org/spreadsheetml/2006/main" count="4273" uniqueCount="929">
  <si>
    <t>CONFIGURAZIONE AUTOMATICA DEL CALENDARIO</t>
  </si>
  <si>
    <t>CALENDARIO SOCIAL · DIARI DI PELLE</t>
  </si>
  <si>
    <t>Modifica soltanto le celle gialle. Tutte le date degli altri fogli si aggiorneranno automaticamente.</t>
  </si>
  <si>
    <t>Calendario autoricalcolante per Instagram, Facebook e TikTok</t>
  </si>
  <si>
    <t>Data minima desiderata</t>
  </si>
  <si>
    <t>AZIONI TOTALI</t>
  </si>
  <si>
    <t>COME FUNZIONA</t>
  </si>
  <si>
    <t>Giorni minimi per prepararti</t>
  </si>
  <si>
    <t>PRIMO REEL</t>
  </si>
  <si>
    <t>ULTIMA PUBBLICAZIONE</t>
  </si>
  <si>
    <t>CAMPAGNE</t>
  </si>
  <si>
    <t>1</t>
  </si>
  <si>
    <t>Se non hai ancora iniziato, lascia vuota “Data bloccata”: il primo Reel passerà automaticamente al prossimo martedì utile.</t>
  </si>
  <si>
    <t>Data bloccata (facoltativa)</t>
  </si>
  <si>
    <t>2</t>
  </si>
  <si>
    <t>Puoi cambiare “Data minima desiderata” quando vuoi. Usa preferibilmente un martedì.</t>
  </si>
  <si>
    <t>Data effettiva del primo Reel</t>
  </si>
  <si>
    <t>3</t>
  </si>
  <si>
    <t>“Giorni minimi” indica quanto anticipo vuoi avere per preparare i primi contenuti.</t>
  </si>
  <si>
    <t>4</t>
  </si>
  <si>
    <t>Quando inizi davvero, copia la data verde nella cella “Data bloccata” per impedire altri spostamenti.</t>
  </si>
  <si>
    <t>COME USARLO ORA</t>
  </si>
  <si>
    <t>5</t>
  </si>
  <si>
    <t>Nel CALENDARIO trovi sia la data in cui lavorare sia la data e l’ora di pubblicazione.</t>
  </si>
  <si>
    <t>Apri CONFIG</t>
  </si>
  <si>
    <t>La data verde si sposta automaticamente al prossimo martedì utile se non hai ancora iniziato.</t>
  </si>
  <si>
    <t>PARAMETRI DEL PIANO</t>
  </si>
  <si>
    <t>ESEMPIO QUANDO SEI IN RITARDO</t>
  </si>
  <si>
    <t>Campagne per sessione Meta/Instagram</t>
  </si>
  <si>
    <t>Sessione</t>
  </si>
  <si>
    <t>Apri SESSIONI</t>
  </si>
  <si>
    <t>Se apri il file dopo la data prevista e non hai ancora cominciato, non devi rifare nulla: lasciando vuota la data bloccata, il foglio sceglie automaticamente il prossimo martedì che ti lascia almeno i giorni di preparazione indicati. Appena programmi il primo Reel, inserisci quella data nella cella gialla “Data bloccata”.</t>
  </si>
  <si>
    <t>La colonna gialla indica il giorno in cui devi sederti e programmare i contenuti.</t>
  </si>
  <si>
    <t>Durata blocco di programmazione (giorni)</t>
  </si>
  <si>
    <t>Apri CALENDARIO</t>
  </si>
  <si>
    <t>Ogni riga mostra data di lavoro, data di pubblicazione, file, caption, link e procedura.</t>
  </si>
  <si>
    <t>Anticipo sessione Meta/Instagram (giorni)</t>
  </si>
  <si>
    <t>Anticipo sessione TikTok (giorni)</t>
  </si>
  <si>
    <t>Data in cui devi farlo</t>
  </si>
  <si>
    <t>Aggiorna lo Stato</t>
  </si>
  <si>
    <t>Usa Da fare, Programmato, Pubblicato oppure Errore. Le righe cambiano colore.</t>
  </si>
  <si>
    <t>Ora lavoro</t>
  </si>
  <si>
    <t>Blocca la partenza</t>
  </si>
  <si>
    <t>Quando programmi il primo Reel, copia la data verde di CONFIG nella cella Data bloccata.</t>
  </si>
  <si>
    <t>Piattaforma / strumento</t>
  </si>
  <si>
    <t>Task</t>
  </si>
  <si>
    <t>Contenuti dal</t>
  </si>
  <si>
    <t>CADENZA SETTIMANALE</t>
  </si>
  <si>
    <t>Contenuti fino al</t>
  </si>
  <si>
    <t>Giorno</t>
  </si>
  <si>
    <t>Ora</t>
  </si>
  <si>
    <t>Contenuto</t>
  </si>
  <si>
    <t>Cosa programmare</t>
  </si>
  <si>
    <t>Piattaforme</t>
  </si>
  <si>
    <t>SIGNIFICATO DELLE DATE</t>
  </si>
  <si>
    <t>Martedì</t>
  </si>
  <si>
    <t>Numero azioni</t>
  </si>
  <si>
    <t>Settimana</t>
  </si>
  <si>
    <t>Reel / video – campagna A</t>
  </si>
  <si>
    <t>Procedura</t>
  </si>
  <si>
    <t>Instagram, Facebook, TikTok</t>
  </si>
  <si>
    <t>Giallo</t>
  </si>
  <si>
    <t>Data di lavoro</t>
  </si>
  <si>
    <t>Stato</t>
  </si>
  <si>
    <t>Il giorno in cui devi caricare o programmare il contenuto.</t>
  </si>
  <si>
    <t>Mercoledì</t>
  </si>
  <si>
    <t>Storia – campagna A</t>
  </si>
  <si>
    <t>Note</t>
  </si>
  <si>
    <t>Instagram, Facebook</t>
  </si>
  <si>
    <t>Data pubblicazione</t>
  </si>
  <si>
    <t>Azzurro</t>
  </si>
  <si>
    <t>Giorno pubblicazione</t>
  </si>
  <si>
    <t>Pubblicazione</t>
  </si>
  <si>
    <t>Il giorno in cui il contenuto deve uscire.</t>
  </si>
  <si>
    <t>S02</t>
  </si>
  <si>
    <t>Ora pubblicazione</t>
  </si>
  <si>
    <t>Giovedì</t>
  </si>
  <si>
    <t>Carosello – campagna A</t>
  </si>
  <si>
    <t>Piattaforma</t>
  </si>
  <si>
    <t>Manuale</t>
  </si>
  <si>
    <t>Storia Instagram</t>
  </si>
  <si>
    <t>La prepari cinque minuti prima usando immagine e link indicati.</t>
  </si>
  <si>
    <t>Formato</t>
  </si>
  <si>
    <t>Venerdì</t>
  </si>
  <si>
    <t>Reel / video – campagna B</t>
  </si>
  <si>
    <t>Libro</t>
  </si>
  <si>
    <t>Auto</t>
  </si>
  <si>
    <t>Prima di iniziare</t>
  </si>
  <si>
    <t>Se sfori, la partenza passa al prossimo martedì utile.</t>
  </si>
  <si>
    <t>Sabato</t>
  </si>
  <si>
    <t>Storia – campagna B</t>
  </si>
  <si>
    <t>Titolo</t>
  </si>
  <si>
    <t>Blocco</t>
  </si>
  <si>
    <t>Dopo l'inizio</t>
  </si>
  <si>
    <t>Cosa devi fare</t>
  </si>
  <si>
    <t>Inserisci la data in CONFIG per non spostare più il piano.</t>
  </si>
  <si>
    <t>Domenica</t>
  </si>
  <si>
    <t>File principale</t>
  </si>
  <si>
    <t>Carosello – campagna B</t>
  </si>
  <si>
    <t>Scaduto</t>
  </si>
  <si>
    <t>Copertina / file aggiuntivo</t>
  </si>
  <si>
    <t>Facebook / Meta Business Suite</t>
  </si>
  <si>
    <t>Controllo</t>
  </si>
  <si>
    <t>Le attività passate e non pubblicate vengono segnalate.</t>
  </si>
  <si>
    <t>Caption / testo da copiare</t>
  </si>
  <si>
    <t>Link</t>
  </si>
  <si>
    <t>CONTROLLO FINALE PRIMA DI PROGRAMMARE</t>
  </si>
  <si>
    <t>Account</t>
  </si>
  <si>
    <t>Controlla sempre il profilo o la Pagina selezionata.</t>
  </si>
  <si>
    <t>Strumento</t>
  </si>
  <si>
    <t>Programmazione</t>
  </si>
  <si>
    <t>Video</t>
  </si>
  <si>
    <t>Verticale 9:16, audio attivo, nessun watermark.</t>
  </si>
  <si>
    <t>Controlli e note</t>
  </si>
  <si>
    <t>Copertina</t>
  </si>
  <si>
    <t>Verifica il ritaglio nel profilo e nel feed.</t>
  </si>
  <si>
    <t>Scaduto?</t>
  </si>
  <si>
    <t>Programma Reel, Storie e caroselli della Pagina.</t>
  </si>
  <si>
    <t>T001</t>
  </si>
  <si>
    <t>Carosello</t>
  </si>
  <si>
    <t>Carica le slide nell'ordine 01 → 02 → 03.</t>
  </si>
  <si>
    <t>Conferma</t>
  </si>
  <si>
    <t>Il contenuto deve comparire tra quelli programmati.</t>
  </si>
  <si>
    <t>Meta Business Suite → Crea → seleziona formato → Programma per dopo.</t>
  </si>
  <si>
    <t>Da fare</t>
  </si>
  <si>
    <t>Apri per prima cosa il foglio CONFIG. Se la data verde ti va bene, passa a SESSIONI: lì trovi esattamente quando puoi programmare i contenuti.</t>
  </si>
  <si>
    <t>Campagne 1–8.</t>
  </si>
  <si>
    <t>S01</t>
  </si>
  <si>
    <t>Instagram</t>
  </si>
  <si>
    <t>Programma Reel e caroselli. Le Storie Instagram restano manuali.</t>
  </si>
  <si>
    <t>App Instagram → crea contenuto → Impostazioni avanzate → Programma.</t>
  </si>
  <si>
    <t>Reel</t>
  </si>
  <si>
    <t>Notti Fugaci</t>
  </si>
  <si>
    <t>TRAILER</t>
  </si>
  <si>
    <t>S11</t>
  </si>
  <si>
    <t>Carica il video, imposta la copertina, incolla la caption e programma.</t>
  </si>
  <si>
    <t>Notti_Fugaci_Social_Pack/01_REELS/TRAILER_reel.mp4</t>
  </si>
  <si>
    <t>Notti_Fugaci_Social_Pack/02_REEL_COVERS/TRAILER_cover.jpg</t>
  </si>
  <si>
    <t>TikTok Studio</t>
  </si>
  <si>
    <t>App Instagram</t>
  </si>
  <si>
    <t>Programmabile</t>
  </si>
  <si>
    <t>Programma Notti Fugaci · Notti Fugaci e Notti Fugaci · L'ora del crepuscolo.</t>
  </si>
  <si>
    <t>Controlla audio, ritaglio 9:16 e anteprima copertina. Il link è nel profilo.</t>
  </si>
  <si>
    <t>TikTok Studio → Carica → caption → copertina → Programma.</t>
  </si>
  <si>
    <t>Esegui questa sessione ogni domenica o nella data indicata.</t>
  </si>
  <si>
    <t>S12</t>
  </si>
  <si>
    <t>T002</t>
  </si>
  <si>
    <t>Programma Notti Fugaci · Amélie e Notti Fugaci · Malena.</t>
  </si>
  <si>
    <t>Chiave</t>
  </si>
  <si>
    <t>N.</t>
  </si>
  <si>
    <t>Slot</t>
  </si>
  <si>
    <t>Caption Instagram</t>
  </si>
  <si>
    <t>Facebook</t>
  </si>
  <si>
    <t>Offset Reel</t>
  </si>
  <si>
    <t>Caption Facebook</t>
  </si>
  <si>
    <t>Data lavoro Meta/Instagram</t>
  </si>
  <si>
    <t>Caption TikTok</t>
  </si>
  <si>
    <t>Data lavoro TikTok</t>
  </si>
  <si>
    <t>Data Reel</t>
  </si>
  <si>
    <t>Link Storia Instagram</t>
  </si>
  <si>
    <t>Data Storia</t>
  </si>
  <si>
    <t>Link Storia Facebook</t>
  </si>
  <si>
    <t>Data Carosello</t>
  </si>
  <si>
    <t>Pagina libro</t>
  </si>
  <si>
    <t>S13</t>
  </si>
  <si>
    <t>Amazon cartaceo</t>
  </si>
  <si>
    <t>Amazon Kindle</t>
  </si>
  <si>
    <t>Pacchetto ZIP</t>
  </si>
  <si>
    <t>File caption originale</t>
  </si>
  <si>
    <t>CTA Storia</t>
  </si>
  <si>
    <t>Storia</t>
  </si>
  <si>
    <t>NF_TRAILER</t>
  </si>
  <si>
    <t>Crea un Reel nella Pagina, carica video e copertina, incolla la caption e programma.</t>
  </si>
  <si>
    <t>Caroselli 01–03</t>
  </si>
  <si>
    <t>Caption</t>
  </si>
  <si>
    <t>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#DiariDiPelle #NottiFugaci #NarrativaItaliana #LibriDaLeggere #RaccontiContemporanei</t>
  </si>
  <si>
    <t>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 https://diaridipelle.it/notti-fugaci.html
📕 Cartaceo: https://www.amazon.it/dp/B0GRWP3X7C
📱 Kindle: https://www.amazon.it/dp/B0GRWP6PMK
#DiariDiPelle #NottiFugaci #NarrativaItaliana #LibriDaLeggere #RaccontiContemporanei</t>
  </si>
  <si>
    <t>Ci sono notti che finiscono all'alba. Altre continuano a vivere sotto la pelle.
«Notti Fugaci» da Notti Fugaci.
Scopri il libro dal link in bio.
#DiariDiPelle #NottiFugaci #BookTokItalia #LibriTikTok</t>
  </si>
  <si>
    <t>https://diaridipelle.it/notti-fugaci.html?utm_source=instagram&amp;utm_medium=story&amp;utm_campaign=notti_fugaci&amp;utm_content=trailer</t>
  </si>
  <si>
    <t>A</t>
  </si>
  <si>
    <t>https://diaridipelle.it/notti-fugaci.html?utm_source=facebook&amp;utm_medium=story&amp;utm_campaign=notti_fugaci&amp;utm_content=trailer</t>
  </si>
  <si>
    <t>https://diaridipelle.it/notti-fugaci.html</t>
  </si>
  <si>
    <t>https://www.amazon.it/dp/B0GRWP3X7C</t>
  </si>
  <si>
    <t>https://www.amazon.it/dp/B0GRWP6PMK</t>
  </si>
  <si>
    <t>Notti_Fugaci_Social_Pack/05_CAPTIONS/TRAILER_caption.txt</t>
  </si>
  <si>
    <t>Tocca SCOPRI IL LIBRO e scegli cartaceo o Kindle.</t>
  </si>
  <si>
    <t>Programma Notti Fugaci · L'Irlandese e Notti Fugaci · Tu vuò fa' l'American.</t>
  </si>
  <si>
    <t>NF_CH01</t>
  </si>
  <si>
    <t>Meta Business Suite</t>
  </si>
  <si>
    <t>CH01</t>
  </si>
  <si>
    <t>L'ora del crepuscolo</t>
  </si>
  <si>
    <t>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#DiariDiPelle #NottiFugaci #NarrativaItaliana #Montmartre #LibriDaLeggere</t>
  </si>
  <si>
    <t>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 https://diaridipelle.it/notti-fugaci.html
📕 Cartaceo: https://www.amazon.it/dp/B0GRWP3X7C
📱 Kindle: https://www.amazon.it/dp/B0GRWP6PMK
#DiariDiPelle #NottiFugaci #NarrativaItaliana #Montmartre #LibriDaLeggere</t>
  </si>
  <si>
    <t>Pubblica sulla Pagina Facebook. I collegamenti nella caption sono cliccabili.</t>
  </si>
  <si>
    <t>Quante volte hai lasciato che un «non posso» decidesse al posto tuo?
«L'ora del crepuscolo» da Notti Fugaci.
Scopri il libro dal link in bio.
#DiariDiPelle #NottiFugaci #BookTokItalia #LibriTikTok</t>
  </si>
  <si>
    <t>https://diaridipelle.it/notti-fugaci.html?utm_source=instagram&amp;utm_medium=story&amp;utm_campaign=notti_fugaci&amp;utm_content=ch01</t>
  </si>
  <si>
    <t>https://diaridipelle.it/notti-fugaci.html?utm_source=facebook&amp;utm_medium=story&amp;utm_campaign=notti_fugaci&amp;utm_content=ch01</t>
  </si>
  <si>
    <t>S14</t>
  </si>
  <si>
    <t>T003</t>
  </si>
  <si>
    <t>Notti_Fugaci_Social_Pack/05_CAPTIONS/CH01_caption.txt</t>
  </si>
  <si>
    <t>NF_CH02</t>
  </si>
  <si>
    <t>CH02</t>
  </si>
  <si>
    <t>Amélie</t>
  </si>
  <si>
    <t>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#DiariDiPelle #NottiFugaci #Parigi #NarrativaContemporanea #LibriItaliani</t>
  </si>
  <si>
    <t>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 https://diaridipelle.it/notti-fugaci.html
📕 Cartaceo: https://www.amazon.it/dp/B0GRWP3X7C
📱 Kindle: https://www.amazon.it/dp/B0GRWP6PMK
#DiariDiPelle #NottiFugaci #Parigi #NarrativaContemporanea #LibriItaliani</t>
  </si>
  <si>
    <t>Parigi gli aveva dato una stanza, una pioggia leggera e una possibilità: smettere di trattenersi.
«Amélie» da Notti Fugaci.
Scopri il libro dal link in bio.
#DiariDiPelle #NottiFugaci #BookTokItalia #LibriTikTok</t>
  </si>
  <si>
    <t>https://diaridipelle.it/notti-fugaci.html?utm_source=instagram&amp;utm_medium=story&amp;utm_campaign=notti_fugaci&amp;utm_content=ch02</t>
  </si>
  <si>
    <t>https://diaridipelle.it/notti-fugaci.html?utm_source=facebook&amp;utm_medium=story&amp;utm_campaign=notti_fugaci&amp;utm_content=ch02</t>
  </si>
  <si>
    <t>Notti_Fugaci_Social_Pack.zip</t>
  </si>
  <si>
    <t>Notti_Fugaci_Social_Pack/05_CAPTIONS/CH02_caption.txt</t>
  </si>
  <si>
    <t>Notti_Fugaci_Social_Pack/04_STORIES/TRAILER_story.jpg</t>
  </si>
  <si>
    <t>Notti_Fugaci_Social_Pack/03_CAROUSELS/TRAILER/TRAILER_01.jpg
Notti_Fugaci_Social_Pack/03_CAROUSELS/TRAILER/TRAILER_02.jpg
Notti_Fugaci_Social_Pack/03_CAROUSELS/TRAILER/TRAILER_03.jpg</t>
  </si>
  <si>
    <t>NF_CH03</t>
  </si>
  <si>
    <t>TikTok</t>
  </si>
  <si>
    <t>CH03</t>
  </si>
  <si>
    <t>Programma Notti Fugaci · Helena e Notti Fugaci · Virginia.</t>
  </si>
  <si>
    <t>Malena</t>
  </si>
  <si>
    <t>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#DiariDiPelle #NottiFugaci #Cicatrici #NarrativaPsicologica #LibriDaLeggere</t>
  </si>
  <si>
    <t>B</t>
  </si>
  <si>
    <t>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 https://diaridipelle.it/notti-fugaci.html
📕 Cartaceo: https://www.amazon.it/dp/B0GRWP3X7C
📱 Kindle: https://www.amazon.it/dp/B0GRWP6PMK
#DiariDiPelle #NottiFugaci #Cicatrici #NarrativaPsicologica #LibriDaLeggere</t>
  </si>
  <si>
    <t>Malena non fu la più importante. Fu la prima a lasciare una cicatrice vera.
«Malena» da Notti Fugaci.
Scopri il libro dal link in bio.
#DiariDiPelle #NottiFugaci #BookTokItalia #LibriTikTok</t>
  </si>
  <si>
    <t>https://diaridipelle.it/notti-fugaci.html?utm_source=instagram&amp;utm_medium=story&amp;utm_campaign=notti_fugaci&amp;utm_content=ch03</t>
  </si>
  <si>
    <t>https://diaridipelle.it/notti-fugaci.html?utm_source=facebook&amp;utm_medium=story&amp;utm_campaign=notti_fugaci&amp;utm_content=ch03</t>
  </si>
  <si>
    <t>Carica il video in TikTok Studio, scegli la copertina, incolla la caption breve e programma.</t>
  </si>
  <si>
    <t>Notti_Fugaci_Social_Pack/05_CAPTIONS/CH03_caption.txt</t>
  </si>
  <si>
    <t>S04</t>
  </si>
  <si>
    <t>NF_CH04</t>
  </si>
  <si>
    <t>CH04</t>
  </si>
  <si>
    <t>L'Irlandese</t>
  </si>
  <si>
    <t>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#DiariDiPelle #NottiFugaci #Barcellona #NarrativaItaliana #StorieDiViaggio</t>
  </si>
  <si>
    <t>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 https://diaridipelle.it/notti-fugaci.html
📕 Cartaceo: https://www.amazon.it/dp/B0GRWP3X7C
📱 Kindle: https://www.amazon.it/dp/B0GRWP6PMK
#DiariDiPelle #NottiFugaci #Barcellona #NarrativaItaliana #StorieDiViaggio</t>
  </si>
  <si>
    <t>Programmabile entro 10 giorni</t>
  </si>
  <si>
    <t>Dopo Malena, Parigi si era ristretta. Barcellona, invece, sembrava non avere pareti.
«L'Irlandese» da Notti Fugaci.
Scopri il libro dal link in bio.
#DiariDiPelle #NottiFugaci #BookTokItalia #LibriTikTok</t>
  </si>
  <si>
    <t>https://diaridipelle.it/notti-fugaci.html?utm_source=instagram&amp;utm_medium=story&amp;utm_campaign=notti_fugaci&amp;utm_content=ch04</t>
  </si>
  <si>
    <t>Non aggiungere watermark. Controlla anteprima verticale e audio.</t>
  </si>
  <si>
    <t>https://diaridipelle.it/notti-fugaci.html?utm_source=facebook&amp;utm_medium=story&amp;utm_campaign=notti_fugaci&amp;utm_content=ch04</t>
  </si>
  <si>
    <t>Notti_Fugaci_Social_Pack/01_REELS/CH01_reel.mp4</t>
  </si>
  <si>
    <t>Notti_Fugaci_Social_Pack/02_REEL_COVERS/CH01_cover.jpg</t>
  </si>
  <si>
    <t>Notti_Fugaci_Social_Pack/04_STORIES/CH01_story.jpg</t>
  </si>
  <si>
    <t>Notti_Fugaci_Social_Pack/05_CAPTIONS/CH04_caption.txt</t>
  </si>
  <si>
    <t>T004</t>
  </si>
  <si>
    <t>Notti_Fugaci_Social_Pack/03_CAROUSELS/CH01/CH01_01.jpg
Notti_Fugaci_Social_Pack/03_CAROUSELS/CH01/CH01_02.jpg
Notti_Fugaci_Social_Pack/03_CAROUSELS/CH01/CH01_03.jpg</t>
  </si>
  <si>
    <t>NF_CH05</t>
  </si>
  <si>
    <t>CH05</t>
  </si>
  <si>
    <t>Tu vuò fa' l'American</t>
  </si>
  <si>
    <t>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#DiariDiPelle #NottiFugaci #Barcellona #RaccontiContemporanei #LibriItaliani</t>
  </si>
  <si>
    <t>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 https://diaridipelle.it/notti-fugaci.html
📕 Cartaceo: https://www.amazon.it/dp/B0GRWP3X7C
📱 Kindle: https://www.amazon.it/dp/B0GRWP6PMK
#DiariDiPelle #NottiFugaci #Barcellona #RaccontiContemporanei #LibriItaliani</t>
  </si>
  <si>
    <t>La Boqueria, il rumore dei bicchieri, un bagno chiuso dall'interno e una città che non chiede spiegazioni.
«Tu vuò fa' l'American» da Notti Fugaci.
Scopri il libro dal link in bio.
#DiariDiPelle #NottiFugaci #BookTokItalia #LibriTikTok</t>
  </si>
  <si>
    <t>https://diaridipelle.it/notti-fugaci.html?utm_source=instagram&amp;utm_medium=story&amp;utm_campaign=notti_fugaci&amp;utm_content=ch05</t>
  </si>
  <si>
    <t>Campagne 9–16.</t>
  </si>
  <si>
    <t>https://diaridipelle.it/notti-fugaci.html?utm_source=facebook&amp;utm_medium=story&amp;utm_campaign=notti_fugaci&amp;utm_content=ch05</t>
  </si>
  <si>
    <t>S03</t>
  </si>
  <si>
    <t>Carica l'immagine, aggiungi l'adesivo Link e pubblica.</t>
  </si>
  <si>
    <t>Notti_Fugaci_Social_Pack/05_CAPTIONS/CH05_caption.txt</t>
  </si>
  <si>
    <t>Notti_Fugaci_Social_Pack/05_CAPTIONS/TRAILER_story_link.txt</t>
  </si>
  <si>
    <t>NF_CH06</t>
  </si>
  <si>
    <t>CH06</t>
  </si>
  <si>
    <t>Helena</t>
  </si>
  <si>
    <t>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#DiariDiPelle #NottiFugaci #Helena #NarrativaContemporanea #LibriDaLeggere</t>
  </si>
  <si>
    <t>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 https://diaridipelle.it/notti-fugaci.html
📕 Cartaceo: https://www.amazon.it/dp/B0GRWP3X7C
📱 Kindle: https://www.amazon.it/dp/B0GRWP6PMK
#DiariDiPelle #NottiFugaci #Helena #NarrativaContemporanea #LibriDaLeggere</t>
  </si>
  <si>
    <t>Helena si era sposata troppo giovane. Cercava una prova: sapere che si può cambiare anche quando sembra tardi.
«Helena» da Notti Fugaci.
Scopri il libro dal link in bio.
#DiariDiPelle #NottiFugaci #BookTokItalia #LibriTikTok</t>
  </si>
  <si>
    <t>https://diaridipelle.it/notti-fugaci.html?utm_source=instagram&amp;utm_medium=story&amp;utm_campaign=notti_fugaci&amp;utm_content=ch06</t>
  </si>
  <si>
    <t>La data lavoro è lo stesso giorno, 5 minuti prima. Testo adesivo: SCOPRI IL LIBRO.</t>
  </si>
  <si>
    <t>https://diaridipelle.it/notti-fugaci.html?utm_source=facebook&amp;utm_medium=story&amp;utm_campaign=notti_fugaci&amp;utm_content=ch06</t>
  </si>
  <si>
    <t>Notti_Fugaci_Social_Pack/01_REELS/CH02_reel.mp4</t>
  </si>
  <si>
    <t>T005</t>
  </si>
  <si>
    <t>Notti_Fugaci_Social_Pack/02_REEL_COVERS/CH02_cover.jpg</t>
  </si>
  <si>
    <t>Notti_Fugaci_Social_Pack/05_CAPTIONS/CH06_caption.txt</t>
  </si>
  <si>
    <t>Notti_Fugaci_Social_Pack/04_STORIES/CH02_story.jpg</t>
  </si>
  <si>
    <t>NF_CH07</t>
  </si>
  <si>
    <t>Notti_Fugaci_Social_Pack/03_CAROUSELS/CH02/CH02_01.jpg
Notti_Fugaci_Social_Pack/03_CAROUSELS/CH02/CH02_02.jpg
Notti_Fugaci_Social_Pack/03_CAROUSELS/CH02/CH02_03.jpg</t>
  </si>
  <si>
    <t>CH07</t>
  </si>
  <si>
    <t>Virginia</t>
  </si>
  <si>
    <t>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#DiariDiPelle #NottiFugaci #Virginia #Barcellona #NarrativaItaliana</t>
  </si>
  <si>
    <t>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 https://diaridipelle.it/notti-fugaci.html
📕 Cartaceo: https://www.amazon.it/dp/B0GRWP3X7C
📱 Kindle: https://www.amazon.it/dp/B0GRWP6PMK
#DiariDiPelle #NottiFugaci #Virginia #Barcellona #NarrativaItaliana</t>
  </si>
  <si>
    <t>Barcellona sembrava dire una cosa semplice: non andare dove il sentiero è già segnato.
«Virginia» da Notti Fugaci.
Scopri il libro dal link in bio.
#DiariDiPelle #NottiFugaci #BookTokItalia #LibriTikTok</t>
  </si>
  <si>
    <t>https://diaridipelle.it/notti-fugaci.html?utm_source=instagram&amp;utm_medium=story&amp;utm_campaign=notti_fugaci&amp;utm_content=ch07</t>
  </si>
  <si>
    <t>S15</t>
  </si>
  <si>
    <t>https://diaridipelle.it/notti-fugaci.html?utm_source=facebook&amp;utm_medium=story&amp;utm_campaign=notti_fugaci&amp;utm_content=ch07</t>
  </si>
  <si>
    <t>Notti_Fugaci_Social_Pack/05_CAPTIONS/CH07_caption.txt</t>
  </si>
  <si>
    <t>NF_CH08</t>
  </si>
  <si>
    <t>CH08</t>
  </si>
  <si>
    <t>Hope</t>
  </si>
  <si>
    <t>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#DiariDiPelle #NottiFugaci #Hope #NarrativaPsicologica #LibriItaliani</t>
  </si>
  <si>
    <t>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 https://diaridipelle.it/notti-fugaci.html
📕 Cartaceo: https://www.amazon.it/dp/B0GRWP3X7C
📱 Kindle: https://www.amazon.it/dp/B0GRWP6PMK
#DiariDiPelle #NottiFugaci #Hope #NarrativaPsicologica #LibriItaliani</t>
  </si>
  <si>
    <t>Crea una Storia della Pagina, carica l'immagine, aggiungi il link e programma.</t>
  </si>
  <si>
    <t>Hope aveva già capito tutto. Eppure bastò una bugia elegante per rimandare la verità di qualche ora.
«Hope» da Notti Fugaci.
Scopri il libro dal link in bio.
#DiariDiPelle #NottiFugaci #BookTokItalia #LibriTikTok</t>
  </si>
  <si>
    <t>https://diaridipelle.it/notti-fugaci.html?utm_source=instagram&amp;utm_medium=story&amp;utm_campaign=notti_fugaci&amp;utm_content=ch08</t>
  </si>
  <si>
    <t>https://diaridipelle.it/notti-fugaci.html?utm_source=facebook&amp;utm_medium=story&amp;utm_campaign=notti_fugaci&amp;utm_content=ch08</t>
  </si>
  <si>
    <t>Notti_Fugaci_Social_Pack/05_CAPTIONS/CH08_caption.txt</t>
  </si>
  <si>
    <t>NF_CH09</t>
  </si>
  <si>
    <t>Programma Notti Fugaci · Hope e Notti Fugaci · Loida.</t>
  </si>
  <si>
    <t>CH09</t>
  </si>
  <si>
    <t>Loida</t>
  </si>
  <si>
    <t>Controlla che la destinazione sia la Pagina Facebook.</t>
  </si>
  <si>
    <t>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#DiariDiPelle #NottiFugaci #Loida #Relazioni #NarrativaContemporanea</t>
  </si>
  <si>
    <t>Notti_Fugaci_Social_Pack/01_REELS/CH03_reel.mp4</t>
  </si>
  <si>
    <t>Notti_Fugaci_Social_Pack/02_REEL_COVERS/CH03_cover.jpg</t>
  </si>
  <si>
    <t>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 https://diaridipelle.it/notti-fugaci.html
📕 Cartaceo: https://www.amazon.it/dp/B0GRWP3X7C
📱 Kindle: https://www.amazon.it/dp/B0GRWP6PMK
#DiariDiPelle #NottiFugaci #Loida #Relazioni #NarrativaContemporanea</t>
  </si>
  <si>
    <t>Notti_Fugaci_Social_Pack/04_STORIES/CH03_story.jpg</t>
  </si>
  <si>
    <t>T006</t>
  </si>
  <si>
    <t>Loida era il nodo rimasto aperto mentre tutto il resto accadeva.
«Loida» da Notti Fugaci.
Scopri il libro dal link in bio.
#DiariDiPelle #NottiFugaci #BookTokItalia #LibriTikTok</t>
  </si>
  <si>
    <t>Notti_Fugaci_Social_Pack/03_CAROUSELS/CH03/CH03_01.jpg
Notti_Fugaci_Social_Pack/03_CAROUSELS/CH03/CH03_02.jpg
Notti_Fugaci_Social_Pack/03_CAROUSELS/CH03/CH03_03.jpg</t>
  </si>
  <si>
    <t>https://diaridipelle.it/notti-fugaci.html?utm_source=instagram&amp;utm_medium=story&amp;utm_campaign=notti_fugaci&amp;utm_content=ch09</t>
  </si>
  <si>
    <t>https://diaridipelle.it/notti-fugaci.html?utm_source=facebook&amp;utm_medium=story&amp;utm_campaign=notti_fugaci&amp;utm_content=ch09</t>
  </si>
  <si>
    <t>S16</t>
  </si>
  <si>
    <t>Notti_Fugaci_Social_Pack/05_CAPTIONS/CH09_caption.txt</t>
  </si>
  <si>
    <t>NF_CH10</t>
  </si>
  <si>
    <t>CH10</t>
  </si>
  <si>
    <t>Florencia</t>
  </si>
  <si>
    <t>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#DiariDiPelle #NottiFugaci #Florencia #LibriDaLeggere #NarrativaItaliana</t>
  </si>
  <si>
    <t>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 https://diaridipelle.it/notti-fugaci.html
📕 Cartaceo: https://www.amazon.it/dp/B0GRWP3X7C
📱 Kindle: https://www.amazon.it/dp/B0GRWP6PMK
#DiariDiPelle #NottiFugaci #Florencia #LibriDaLeggere #NarrativaItaliana</t>
  </si>
  <si>
    <t>Florencia non è soltanto l'ultima notte. È il momento in cui il viaggio smette di essere una fuga e diventa memoria.
«Florencia» da Notti Fugaci.
Scopri il libro dal link in bio.
#DiariDiPelle #NottiFugaci #BookTokItalia #LibriTikTok</t>
  </si>
  <si>
    <t>Carica le tre immagini nell'ordine 01, 02, 03; incolla la caption e programma.</t>
  </si>
  <si>
    <t>https://diaridipelle.it/notti-fugaci.html?utm_source=instagram&amp;utm_medium=story&amp;utm_campaign=notti_fugaci&amp;utm_content=ch10</t>
  </si>
  <si>
    <t>https://diaridipelle.it/notti-fugaci.html?utm_source=facebook&amp;utm_medium=story&amp;utm_campaign=notti_fugaci&amp;utm_content=ch10</t>
  </si>
  <si>
    <t>Ordine obbligatorio: 01 → 02 → 03</t>
  </si>
  <si>
    <t>Notti_Fugaci_Social_Pack/05_CAPTIONS/CH10_caption.txt</t>
  </si>
  <si>
    <t>Notti_Fugaci_Social_Pack/01_REELS/CH04_reel.mp4</t>
  </si>
  <si>
    <t>IS_TRAILER</t>
  </si>
  <si>
    <t>Intrecci Sbagliati</t>
  </si>
  <si>
    <t>Programma Notti Fugaci · Florencia e Intrecci Sbagliati · Intrecci Sbagliati.</t>
  </si>
  <si>
    <t>Notti_Fugaci_Social_Pack/02_REEL_COVERS/CH04_cover.jpg</t>
  </si>
  <si>
    <t>Notti_Fugaci_Social_Pack/04_STORIES/CH04_story.jpg</t>
  </si>
  <si>
    <t>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#DiariDiPelle #IntrecciSbagliati #NarrativaItaliana #NarrativaPsicologica #LibriDaLeggere</t>
  </si>
  <si>
    <t>Notti_Fugaci_Social_Pack/03_CAROUSELS/CH04/CH04_01.jpg
Notti_Fugaci_Social_Pack/03_CAROUSELS/CH04/CH04_02.jpg
Notti_Fugaci_Social_Pack/03_CAROUSELS/CH04/CH04_03.jpg</t>
  </si>
  <si>
    <t>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 https://diaridipelle.it/intrecci-sbagliati.html
📕 Cartaceo: https://www.amazon.it/dp/B0GX27ZJ1L
📱 Kindle: https://www.amazon.it/dp/B0GX2JR3F6
#DiariDiPelle #IntrecciSbagliati #NarrativaItaliana #NarrativaPsicologica #LibriDaLeggere</t>
  </si>
  <si>
    <t>Una notte non basta più. Ne vuoi un'altra, e un'altra ancora, finché ogni incontro comincia a produrre conseguenze.
«Intrecci Sbagliati» da Intrecci Sbagliati.
Scopri il libro dal link in bio.
#DiariDiPelle #IntrecciSbagliati #BookTokItalia #LibriTikTok</t>
  </si>
  <si>
    <t>Verifica che nessuna slide sia tagliata. Il link è nel profilo.</t>
  </si>
  <si>
    <t>https://diaridipelle.it/intrecci-sbagliati.html?utm_source=instagram&amp;utm_medium=story&amp;utm_campaign=intrecci_sbagliati&amp;utm_content=trailer</t>
  </si>
  <si>
    <t>https://diaridipelle.it/intrecci-sbagliati.html?utm_source=facebook&amp;utm_medium=story&amp;utm_campaign=intrecci_sbagliati&amp;utm_content=trailer</t>
  </si>
  <si>
    <t>T007</t>
  </si>
  <si>
    <t>https://diaridipelle.it/intrecci-sbagliati.html</t>
  </si>
  <si>
    <t>https://www.amazon.it/dp/B0GX27ZJ1L</t>
  </si>
  <si>
    <t>https://www.amazon.it/dp/B0GX2JR3F6</t>
  </si>
  <si>
    <t>S17</t>
  </si>
  <si>
    <t>Intrecci_Sbagliati_Social_Pack/05_CAPTIONS/TRAILER_caption.txt</t>
  </si>
  <si>
    <t>IS_CH01</t>
  </si>
  <si>
    <t>Héloïse</t>
  </si>
  <si>
    <t>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#DiariDiPelle #IntrecciSbagliati #Héloïse #Relazioni #NarrativaContemporanea</t>
  </si>
  <si>
    <t>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 https://diaridipelle.it/intrecci-sbagliati.html
📕 Cartaceo: https://www.amazon.it/dp/B0GX27ZJ1L
📱 Kindle: https://www.amazon.it/dp/B0GX2JR3F6
#DiariDiPelle #IntrecciSbagliati #Héloïse #Relazioni #NarrativaContemporanea</t>
  </si>
  <si>
    <t>Al ritorno da Barcellona, una busta infilata nella porta e un nome scritto più volte cambiano il ritmo della residenza.
«Héloïse» da Intrecci Sbagliati.
Scopri il libro dal link in bio.
#DiariDiPelle #IntrecciSbagliati #BookTokItalia #LibriTikTok</t>
  </si>
  <si>
    <t>https://diaridipelle.it/intrecci-sbagliati.html?utm_source=instagram&amp;utm_medium=story&amp;utm_campaign=intrecci_sbagliati&amp;utm_content=ch01</t>
  </si>
  <si>
    <t>https://diaridipelle.it/intrecci-sbagliati.html?utm_source=facebook&amp;utm_medium=story&amp;utm_campaign=intrecci_sbagliati&amp;utm_content=ch01</t>
  </si>
  <si>
    <t>Programma Intrecci Sbagliati · Héloïse e Intrecci Sbagliati · Greta.</t>
  </si>
  <si>
    <t>Intrecci_Sbagliati_Social_Pack/05_CAPTIONS/CH01_caption.txt</t>
  </si>
  <si>
    <t>Notti_Fugaci_Social_Pack/01_REELS/CH05_reel.mp4</t>
  </si>
  <si>
    <t>IS_CH02</t>
  </si>
  <si>
    <t>Notti_Fugaci_Social_Pack/02_REEL_COVERS/CH05_cover.jpg</t>
  </si>
  <si>
    <t>Notti_Fugaci_Social_Pack/04_STORIES/CH05_story.jpg</t>
  </si>
  <si>
    <t>Notti_Fugaci_Social_Pack/03_CAROUSELS/CH05/CH05_01.jpg
Notti_Fugaci_Social_Pack/03_CAROUSELS/CH05/CH05_02.jpg
Notti_Fugaci_Social_Pack/03_CAROUSELS/CH05/CH05_03.jpg</t>
  </si>
  <si>
    <t>Controlla ordine delle immagini e collegamenti nella caption.</t>
  </si>
  <si>
    <t>S18</t>
  </si>
  <si>
    <t>Greta</t>
  </si>
  <si>
    <t>T008</t>
  </si>
  <si>
    <t>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#DiariDiPelle #IntrecciSbagliati #Greta #Libertà #LibriItaliani</t>
  </si>
  <si>
    <t>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 https://diaridipelle.it/intrecci-sbagliati.html
📕 Cartaceo: https://www.amazon.it/dp/B0GX27ZJ1L
📱 Kindle: https://www.amazon.it/dp/B0GX2JR3F6
#DiariDiPelle #IntrecciSbagliati #Greta #Libertà #LibriItaliani</t>
  </si>
  <si>
    <t>Greta sembrava trasformare ogni stanza nel proprio centro senza fare nulla per esserlo.
«Greta» da Intrecci Sbagliati.
Scopri il libro dal link in bio.
#DiariDiPelle #IntrecciSbagliati #BookTokItalia #LibriTikTok</t>
  </si>
  <si>
    <t>https://diaridipelle.it/intrecci-sbagliati.html?utm_source=instagram&amp;utm_medium=story&amp;utm_campaign=intrecci_sbagliati&amp;utm_content=ch02</t>
  </si>
  <si>
    <t>https://diaridipelle.it/intrecci-sbagliati.html?utm_source=facebook&amp;utm_medium=story&amp;utm_campaign=intrecci_sbagliati&amp;utm_content=ch02</t>
  </si>
  <si>
    <t>Intrecci_Sbagliati_Social_Pack/05_CAPTIONS/CH02_caption.txt</t>
  </si>
  <si>
    <t>Programma Intrecci Sbagliati · Rossella e Intrecci Sbagliati · Cansu.</t>
  </si>
  <si>
    <t>IS_CH03</t>
  </si>
  <si>
    <t>Notti_Fugaci_Social_Pack/01_REELS/CH06_reel.mp4</t>
  </si>
  <si>
    <t>Notti_Fugaci_Social_Pack/02_REEL_COVERS/CH06_cover.jpg</t>
  </si>
  <si>
    <t>Notti_Fugaci_Social_Pack/04_STORIES/CH06_story.jpg</t>
  </si>
  <si>
    <t>Notti_Fugaci_Social_Pack/03_CAROUSELS/CH06/CH06_01.jpg
Notti_Fugaci_Social_Pack/03_CAROUSELS/CH06/CH06_02.jpg
Notti_Fugaci_Social_Pack/03_CAROUSELS/CH06/CH06_03.jpg</t>
  </si>
  <si>
    <t>Rossella</t>
  </si>
  <si>
    <t>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#DiariDiPelle #IntrecciSbagliati #MuséeDOrsay #Parigi #NarrativaItaliana</t>
  </si>
  <si>
    <t>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 https://diaridipelle.it/intrecci-sbagliati.html
📕 Cartaceo: https://www.amazon.it/dp/B0GX27ZJ1L
📱 Kindle: https://www.amazon.it/dp/B0GX2JR3F6
#DiariDiPelle #IntrecciSbagliati #MuséeDOrsay #Parigi #NarrativaItaliana</t>
  </si>
  <si>
    <t>S06</t>
  </si>
  <si>
    <t>L'orologio del Musée d'Orsay continua a girare mentre Rossella ha già deciso dove fermarsi.
«Rossella» da Intrecci Sbagliati.
Scopri il libro dal link in bio.
#DiariDiPelle #IntrecciSbagliati #BookTokItalia #LibriTikTok</t>
  </si>
  <si>
    <t>https://diaridipelle.it/intrecci-sbagliati.html?utm_source=instagram&amp;utm_medium=story&amp;utm_campaign=intrecci_sbagliati&amp;utm_content=ch03</t>
  </si>
  <si>
    <t>https://diaridipelle.it/intrecci-sbagliati.html?utm_source=facebook&amp;utm_medium=story&amp;utm_campaign=intrecci_sbagliati&amp;utm_content=ch03</t>
  </si>
  <si>
    <t>T009</t>
  </si>
  <si>
    <t>Intrecci_Sbagliati_Social_Pack/05_CAPTIONS/CH03_caption.txt</t>
  </si>
  <si>
    <t>IS_CH04</t>
  </si>
  <si>
    <t>Cansu</t>
  </si>
  <si>
    <t>Notti_Fugaci_Social_Pack/01_REELS/CH07_reel.mp4</t>
  </si>
  <si>
    <t>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#DiariDiPelle #IntrecciSbagliati #Cansu #Parigi #NarrativaPsicologica</t>
  </si>
  <si>
    <t>Notti_Fugaci_Social_Pack/02_REEL_COVERS/CH07_cover.jpg</t>
  </si>
  <si>
    <t>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 https://diaridipelle.it/intrecci-sbagliati.html
📕 Cartaceo: https://www.amazon.it/dp/B0GX27ZJ1L
📱 Kindle: https://www.amazon.it/dp/B0GX2JR3F6
#DiariDiPelle #IntrecciSbagliati #Cansu #Parigi #NarrativaPsicologica</t>
  </si>
  <si>
    <t>Notti_Fugaci_Social_Pack/04_STORIES/CH07_story.jpg</t>
  </si>
  <si>
    <t>Notti_Fugaci_Social_Pack/03_CAROUSELS/CH07/CH07_01.jpg
Notti_Fugaci_Social_Pack/03_CAROUSELS/CH07/CH07_02.jpg
Notti_Fugaci_Social_Pack/03_CAROUSELS/CH07/CH07_03.jpg</t>
  </si>
  <si>
    <t>Cansu non chiedeva attenzione. La selezionava.
«Cansu» da Intrecci Sbagliati.
Scopri il libro dal link in bio.
#DiariDiPelle #IntrecciSbagliati #BookTokItalia #LibriTikTok</t>
  </si>
  <si>
    <t>https://diaridipelle.it/intrecci-sbagliati.html?utm_source=instagram&amp;utm_medium=story&amp;utm_campaign=intrecci_sbagliati&amp;utm_content=ch04</t>
  </si>
  <si>
    <t>Campagne 17–24.</t>
  </si>
  <si>
    <t>https://diaridipelle.it/intrecci-sbagliati.html?utm_source=facebook&amp;utm_medium=story&amp;utm_campaign=intrecci_sbagliati&amp;utm_content=ch04</t>
  </si>
  <si>
    <t>S05</t>
  </si>
  <si>
    <t>Intrecci_Sbagliati_Social_Pack/05_CAPTIONS/CH04_caption.txt</t>
  </si>
  <si>
    <t>IS_CH05</t>
  </si>
  <si>
    <t>T010</t>
  </si>
  <si>
    <t>Ella</t>
  </si>
  <si>
    <t>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#DiariDiPelle #IntrecciSbagliati #Ella #Desiderio #LibriDaLeggere</t>
  </si>
  <si>
    <t>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 https://diaridipelle.it/intrecci-sbagliati.html
📕 Cartaceo: https://www.amazon.it/dp/B0GX27ZJ1L
📱 Kindle: https://www.amazon.it/dp/B0GX2JR3F6
#DiariDiPelle #IntrecciSbagliati #Ella #Desiderio #LibriDaLeggere</t>
  </si>
  <si>
    <t>Notti_Fugaci_Social_Pack/01_REELS/CH08_reel.mp4</t>
  </si>
  <si>
    <t>Notti_Fugaci_Social_Pack/02_REEL_COVERS/CH08_cover.jpg</t>
  </si>
  <si>
    <t>Notti_Fugaci_Social_Pack/04_STORIES/CH08_story.jpg</t>
  </si>
  <si>
    <t>Parigi aveva insegnato la libertà delle notti fugaci. Poi arrivò Ella e rese insufficiente tutto il resto.
«Ella» da Intrecci Sbagliati.
Scopri il libro dal link in bio.
#DiariDiPelle #IntrecciSbagliati #BookTokItalia #LibriTikTok</t>
  </si>
  <si>
    <t>Notti_Fugaci_Social_Pack/03_CAROUSELS/CH08/CH08_01.jpg
Notti_Fugaci_Social_Pack/03_CAROUSELS/CH08/CH08_02.jpg
Notti_Fugaci_Social_Pack/03_CAROUSELS/CH08/CH08_03.jpg</t>
  </si>
  <si>
    <t>https://diaridipelle.it/intrecci-sbagliati.html?utm_source=instagram&amp;utm_medium=story&amp;utm_campaign=intrecci_sbagliati&amp;utm_content=ch05</t>
  </si>
  <si>
    <t>https://diaridipelle.it/intrecci-sbagliati.html?utm_source=facebook&amp;utm_medium=story&amp;utm_campaign=intrecci_sbagliati&amp;utm_content=ch05</t>
  </si>
  <si>
    <t>S19</t>
  </si>
  <si>
    <t>Intrecci_Sbagliati_Social_Pack/05_CAPTIONS/CH05_caption.txt</t>
  </si>
  <si>
    <t>IS_CH06</t>
  </si>
  <si>
    <t>Ancora Lei</t>
  </si>
  <si>
    <t>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#DiariDiPelle #IntrecciSbagliati #AncoraLei #StorieDamore #NarrativaContemporanea</t>
  </si>
  <si>
    <t>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 https://diaridipelle.it/intrecci-sbagliati.html
📕 Cartaceo: https://www.amazon.it/dp/B0GX27ZJ1L
📱 Kindle: https://www.amazon.it/dp/B0GX2JR3F6
#DiariDiPelle #IntrecciSbagliati #AncoraLei #StorieDamore #NarrativaContemporanea</t>
  </si>
  <si>
    <t>T011</t>
  </si>
  <si>
    <t>Ella era già sul treno, con le valigie e la vita pronta a ripartire. Poi lesse un messaggio e scese all'ultimo secondo.
«Ancora Lei» da Intrecci Sbagliati.
Scopri il libro dal link in bio.
#DiariDiPelle #IntrecciSbagliati #BookTokItalia #LibriTikTok</t>
  </si>
  <si>
    <t>https://diaridipelle.it/intrecci-sbagliati.html?utm_source=instagram&amp;utm_medium=story&amp;utm_campaign=intrecci_sbagliati&amp;utm_content=ch06</t>
  </si>
  <si>
    <t>Programma Intrecci Sbagliati · Ella e Intrecci Sbagliati · Ancora Lei.</t>
  </si>
  <si>
    <t>https://diaridipelle.it/intrecci-sbagliati.html?utm_source=facebook&amp;utm_medium=story&amp;utm_campaign=intrecci_sbagliati&amp;utm_content=ch06</t>
  </si>
  <si>
    <t>Notti_Fugaci_Social_Pack/01_REELS/CH09_reel.mp4</t>
  </si>
  <si>
    <t>Notti_Fugaci_Social_Pack/02_REEL_COVERS/CH09_cover.jpg</t>
  </si>
  <si>
    <t>Notti_Fugaci_Social_Pack/04_STORIES/CH09_story.jpg</t>
  </si>
  <si>
    <t>Notti_Fugaci_Social_Pack/03_CAROUSELS/CH09/CH09_01.jpg
Notti_Fugaci_Social_Pack/03_CAROUSELS/CH09/CH09_02.jpg
Notti_Fugaci_Social_Pack/03_CAROUSELS/CH09/CH09_03.jpg</t>
  </si>
  <si>
    <t>Intrecci_Sbagliati_Social_Pack/05_CAPTIONS/CH06_caption.txt</t>
  </si>
  <si>
    <t>S20</t>
  </si>
  <si>
    <t>IS_CH07</t>
  </si>
  <si>
    <t>Notti_Fugaci_Social_Pack/05_CAPTIONS/CH01_story_link.txt</t>
  </si>
  <si>
    <t>Isabella</t>
  </si>
  <si>
    <t>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#DiariDiPelle #IntrecciSbagliati #Isabella #Torino #RaccontiContemporanei</t>
  </si>
  <si>
    <t>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 https://diaridipelle.it/intrecci-sbagliati.html
📕 Cartaceo: https://www.amazon.it/dp/B0GX27ZJ1L
📱 Kindle: https://www.amazon.it/dp/B0GX2JR3F6
#DiariDiPelle #IntrecciSbagliati #Isabella #Torino #RaccontiContemporanei</t>
  </si>
  <si>
    <t>Tornare a Torino significa attraversare una frontiera senza cambiare Paese: gli stessi corridoi, ma una persona completamente diversa.
«Isabella» da Intrecci Sbagliati.
Scopri il libro dal link in bio.
#DiariDiPelle #IntrecciSbagliati #BookTokItalia #LibriTikTok</t>
  </si>
  <si>
    <t>https://diaridipelle.it/intrecci-sbagliati.html?utm_source=instagram&amp;utm_medium=story&amp;utm_campaign=intrecci_sbagliati&amp;utm_content=ch07</t>
  </si>
  <si>
    <t>Notti_Fugaci_Social_Pack/01_REELS/CH10_reel.mp4</t>
  </si>
  <si>
    <t>https://diaridipelle.it/intrecci-sbagliati.html?utm_source=facebook&amp;utm_medium=story&amp;utm_campaign=intrecci_sbagliati&amp;utm_content=ch07</t>
  </si>
  <si>
    <t>Notti_Fugaci_Social_Pack/02_REEL_COVERS/CH10_cover.jpg</t>
  </si>
  <si>
    <t>Notti_Fugaci_Social_Pack/04_STORIES/CH10_story.jpg</t>
  </si>
  <si>
    <t>Notti_Fugaci_Social_Pack/03_CAROUSELS/CH10/CH10_01.jpg
Notti_Fugaci_Social_Pack/03_CAROUSELS/CH10/CH10_02.jpg
Notti_Fugaci_Social_Pack/03_CAROUSELS/CH10/CH10_03.jpg</t>
  </si>
  <si>
    <t>T012</t>
  </si>
  <si>
    <t>Programma Intrecci Sbagliati · Isabella e Intrecci Sbagliati · Promesse mantenute.</t>
  </si>
  <si>
    <t>Intrecci_Sbagliati_Social_Pack/05_CAPTIONS/CH07_caption.txt</t>
  </si>
  <si>
    <t>IS_CH08</t>
  </si>
  <si>
    <t>S21</t>
  </si>
  <si>
    <t>Promesse mantenute</t>
  </si>
  <si>
    <t>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#DiariDiPelle #IntrecciSbagliati #Puglia #PromesseMantenute #LibriItaliani</t>
  </si>
  <si>
    <t>Intrecci_Sbagliati_Social_Pack.zip</t>
  </si>
  <si>
    <t>Intrecci_Sbagliati_Social_Pack/01_REELS/TRAILER_reel.mp4</t>
  </si>
  <si>
    <t>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 https://diaridipelle.it/intrecci-sbagliati.html
📕 Cartaceo: https://www.amazon.it/dp/B0GX27ZJ1L
📱 Kindle: https://www.amazon.it/dp/B0GX2JR3F6
#DiariDiPelle #IntrecciSbagliati #Puglia #PromesseMantenute #LibriItaliani</t>
  </si>
  <si>
    <t>Intrecci_Sbagliati_Social_Pack/02_REEL_COVERS/TRAILER_cover.jpg</t>
  </si>
  <si>
    <t>Intrecci_Sbagliati_Social_Pack/04_STORIES/TRAILER_story.jpg</t>
  </si>
  <si>
    <t>Ella attraversa mezza Europa per raggiungerlo in Puglia.
«Promesse mantenute» da Intrecci Sbagliati.
Scopri il libro dal link in bio.
#DiariDiPelle #IntrecciSbagliati #BookTokItalia #LibriTikTok</t>
  </si>
  <si>
    <t>Intrecci_Sbagliati_Social_Pack/03_CAROUSELS/TRAILER/TRAILER_01.jpg
Intrecci_Sbagliati_Social_Pack/03_CAROUSELS/TRAILER/TRAILER_02.jpg
Intrecci_Sbagliati_Social_Pack/03_CAROUSELS/TRAILER/TRAILER_03.jpg</t>
  </si>
  <si>
    <t>https://diaridipelle.it/intrecci-sbagliati.html?utm_source=instagram&amp;utm_medium=story&amp;utm_campaign=intrecci_sbagliati&amp;utm_content=ch08</t>
  </si>
  <si>
    <t>https://diaridipelle.it/intrecci-sbagliati.html?utm_source=facebook&amp;utm_medium=story&amp;utm_campaign=intrecci_sbagliati&amp;utm_content=ch08</t>
  </si>
  <si>
    <t>Intrecci_Sbagliati_Social_Pack/05_CAPTIONS/CH08_caption.txt</t>
  </si>
  <si>
    <t>Programma Intrecci Sbagliati · Virginia e Intrecci Sbagliati · Legame.</t>
  </si>
  <si>
    <t>IS_CH09</t>
  </si>
  <si>
    <t>T013</t>
  </si>
  <si>
    <t>Intrecci_Sbagliati_Social_Pack/01_REELS/CH01_reel.mp4</t>
  </si>
  <si>
    <t>Intrecci_Sbagliati_Social_Pack/02_REEL_COVERS/CH01_cover.jpg</t>
  </si>
  <si>
    <t>Intrecci_Sbagliati_Social_Pack/04_STORIES/CH01_story.jpg</t>
  </si>
  <si>
    <t>Intrecci_Sbagliati_Social_Pack/03_CAROUSELS/CH01/CH01_01.jpg
Intrecci_Sbagliati_Social_Pack/03_CAROUSELS/CH01/CH01_02.jpg
Intrecci_Sbagliati_Social_Pack/03_CAROUSELS/CH01/CH01_03.jpg</t>
  </si>
  <si>
    <t>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#DiariDiPelle #IntrecciSbagliati #Virginia #Barcellona #NarrativaPsicologica</t>
  </si>
  <si>
    <t>S22</t>
  </si>
  <si>
    <t>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 https://diaridipelle.it/intrecci-sbagliati.html
📕 Cartaceo: https://www.amazon.it/dp/B0GX27ZJ1L
📱 Kindle: https://www.amazon.it/dp/B0GX2JR3F6
#DiariDiPelle #IntrecciSbagliati #Virginia #Barcellona #NarrativaPsicologica</t>
  </si>
  <si>
    <t>La casa nuova sembra un castello, ma amplifica ogni litigio. Barcellona diventa di nuovo una fuga.
«Virginia» da Intrecci Sbagliati.
Scopri il libro dal link in bio.
#DiariDiPelle #IntrecciSbagliati #BookTokItalia #LibriTikTok</t>
  </si>
  <si>
    <t>https://diaridipelle.it/intrecci-sbagliati.html?utm_source=instagram&amp;utm_medium=story&amp;utm_campaign=intrecci_sbagliati&amp;utm_content=ch09</t>
  </si>
  <si>
    <t>https://diaridipelle.it/intrecci-sbagliati.html?utm_source=facebook&amp;utm_medium=story&amp;utm_campaign=intrecci_sbagliati&amp;utm_content=ch09</t>
  </si>
  <si>
    <t>Intrecci_Sbagliati_Social_Pack/01_REELS/CH02_reel.mp4</t>
  </si>
  <si>
    <t>Intrecci_Sbagliati_Social_Pack/05_CAPTIONS/CH09_caption.txt</t>
  </si>
  <si>
    <t>Intrecci_Sbagliati_Social_Pack/02_REEL_COVERS/CH02_cover.jpg</t>
  </si>
  <si>
    <t>Intrecci_Sbagliati_Social_Pack/04_STORIES/CH02_story.jpg</t>
  </si>
  <si>
    <t>Intrecci_Sbagliati_Social_Pack/03_CAROUSELS/CH02/CH02_01.jpg
Intrecci_Sbagliati_Social_Pack/03_CAROUSELS/CH02/CH02_02.jpg
Intrecci_Sbagliati_Social_Pack/03_CAROUSELS/CH02/CH02_03.jpg</t>
  </si>
  <si>
    <t>T014</t>
  </si>
  <si>
    <t>Programma Legami · Legămi e Legami · Il Collare.</t>
  </si>
  <si>
    <t>IS_CH10</t>
  </si>
  <si>
    <t>Legame</t>
  </si>
  <si>
    <t>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#DiariDiPelle #IntrecciSbagliati #Legame #Relazioni #NarrativaItaliana</t>
  </si>
  <si>
    <t>S08</t>
  </si>
  <si>
    <t>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 https://diaridipelle.it/intrecci-sbagliati.html
📕 Cartaceo: https://www.amazon.it/dp/B0GX27ZJ1L
📱 Kindle: https://www.amazon.it/dp/B0GX2JR3F6
#DiariDiPelle #IntrecciSbagliati #Legame #Relazioni #NarrativaItaliana</t>
  </si>
  <si>
    <t>Dopo Virginia non torna più leggero. Torna diviso.
«Legame» da Intrecci Sbagliati.
Scopri il libro dal link in bio.
#DiariDiPelle #IntrecciSbagliati #BookTokItalia #LibriTikTok</t>
  </si>
  <si>
    <t>Intrecci_Sbagliati_Social_Pack/01_REELS/CH03_reel.mp4</t>
  </si>
  <si>
    <t>Intrecci_Sbagliati_Social_Pack/02_REEL_COVERS/CH03_cover.jpg</t>
  </si>
  <si>
    <t>https://diaridipelle.it/intrecci-sbagliati.html?utm_source=instagram&amp;utm_medium=story&amp;utm_campaign=intrecci_sbagliati&amp;utm_content=ch10</t>
  </si>
  <si>
    <t>Intrecci_Sbagliati_Social_Pack/04_STORIES/CH03_story.jpg</t>
  </si>
  <si>
    <t>Intrecci_Sbagliati_Social_Pack/03_CAROUSELS/CH03/CH03_01.jpg
Intrecci_Sbagliati_Social_Pack/03_CAROUSELS/CH03/CH03_02.jpg
Intrecci_Sbagliati_Social_Pack/03_CAROUSELS/CH03/CH03_03.jpg</t>
  </si>
  <si>
    <t>https://diaridipelle.it/intrecci-sbagliati.html?utm_source=facebook&amp;utm_medium=story&amp;utm_campaign=intrecci_sbagliati&amp;utm_content=ch10</t>
  </si>
  <si>
    <t>Intrecci_Sbagliati_Social_Pack/05_CAPTIONS/CH10_caption.txt</t>
  </si>
  <si>
    <t>T015</t>
  </si>
  <si>
    <t>LG_TRAILER</t>
  </si>
  <si>
    <t>Legami</t>
  </si>
  <si>
    <t>Legămi</t>
  </si>
  <si>
    <t>Intrecci_Sbagliati_Social_Pack/01_REELS/CH04_reel.mp4</t>
  </si>
  <si>
    <t>Intrecci_Sbagliati_Social_Pack/02_REEL_COVERS/CH04_cover.jpg</t>
  </si>
  <si>
    <t>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Amazon: https://www.amazon.it/dp/B0GZJR8FSJ
#DiariDiPelle #Legami #NarrativaItaliana #NarrativaPsicologica #BookstagramItalia</t>
  </si>
  <si>
    <t>Intrecci_Sbagliati_Social_Pack/04_STORIES/CH04_story.jpg</t>
  </si>
  <si>
    <t>Intrecci_Sbagliati_Social_Pack/03_CAROUSELS/CH04/CH04_01.jpg
Intrecci_Sbagliati_Social_Pack/03_CAROUSELS/CH04/CH04_02.jpg
Intrecci_Sbagliati_Social_Pack/03_CAROUSELS/CH04/CH04_03.jpg</t>
  </si>
  <si>
    <t>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https://diaridipelle.it/legami.html
🛒 Amazon: https://www.amazon.it/dp/B0GZJR8FSJ
#DiariDiPelle #Legami #NarrativaItaliana #NarrativaPsicologica #BookstagramItalia</t>
  </si>
  <si>
    <t>Campagne 25–32.</t>
  </si>
  <si>
    <t>Il desiderio sembrava libertà. Poi ha iniziato a chiedere il conto.
«Legămi» da Legami.
Scopri il libro dal link in bio.
#DiariDiPelle #Legami #BookTokItalia #LibriTikTok</t>
  </si>
  <si>
    <t>https://diaridipelle.it/legami.html?utm_source=instagram&amp;utm_medium=story&amp;utm_campaign=legami&amp;utm_content=trailer</t>
  </si>
  <si>
    <t>S07</t>
  </si>
  <si>
    <t>https://diaridipelle.it/legami.html?utm_source=facebook&amp;utm_medium=story&amp;utm_campaign=legami&amp;utm_content=trailer</t>
  </si>
  <si>
    <t>https://diaridipelle.it/legami.html</t>
  </si>
  <si>
    <t>https://www.amazon.it/dp/B0GZJR8FSJ</t>
  </si>
  <si>
    <t>Legami_Social_Pack/05_CAPTIONS/TRAILER_caption.txt</t>
  </si>
  <si>
    <t>Intrecci_Sbagliati_Social_Pack/01_REELS/CH05_reel.mp4</t>
  </si>
  <si>
    <t>LG_CH01</t>
  </si>
  <si>
    <t>Intrecci_Sbagliati_Social_Pack/02_REEL_COVERS/CH05_cover.jpg</t>
  </si>
  <si>
    <t>Intrecci_Sbagliati_Social_Pack/04_STORIES/CH05_story.jpg</t>
  </si>
  <si>
    <t>Intrecci_Sbagliati_Social_Pack/03_CAROUSELS/CH05/CH05_01.jpg
Intrecci_Sbagliati_Social_Pack/03_CAROUSELS/CH05/CH05_02.jpg
Intrecci_Sbagliati_Social_Pack/03_CAROUSELS/CH05/CH05_03.jpg</t>
  </si>
  <si>
    <t>T016</t>
  </si>
  <si>
    <t>Il Collare</t>
  </si>
  <si>
    <t>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Amazon: https://www.amazon.it/dp/B0GZJR8FSJ
#DiariDiPelle #Legami #IlCollare #CinqueTerre #NarrativaContemporanea</t>
  </si>
  <si>
    <t>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https://diaridipelle.it/legami.html
🛒 Amazon: https://www.amazon.it/dp/B0GZJR8FSJ
#DiariDiPelle #Legami #IlCollare #CinqueTerre #NarrativaContemporanea</t>
  </si>
  <si>
    <t>Alle Cinque Terre, il desiderio rallenta al ritmo di una sola parola: langsam.
«Il Collare» da Legami.
Scopri il libro dal link in bio.
#DiariDiPelle #Legami #BookTokItalia #LibriTikTok</t>
  </si>
  <si>
    <t>https://diaridipelle.it/legami.html?utm_source=instagram&amp;utm_medium=story&amp;utm_campaign=legami&amp;utm_content=ch01</t>
  </si>
  <si>
    <t>https://diaridipelle.it/legami.html?utm_source=facebook&amp;utm_medium=story&amp;utm_campaign=legami&amp;utm_content=ch01</t>
  </si>
  <si>
    <t>Intrecci_Sbagliati_Social_Pack/01_REELS/CH06_reel.mp4</t>
  </si>
  <si>
    <t>Intrecci_Sbagliati_Social_Pack/02_REEL_COVERS/CH06_cover.jpg</t>
  </si>
  <si>
    <t>Intrecci_Sbagliati_Social_Pack/04_STORIES/CH06_story.jpg</t>
  </si>
  <si>
    <t>Intrecci_Sbagliati_Social_Pack/03_CAROUSELS/CH06/CH06_01.jpg
Intrecci_Sbagliati_Social_Pack/03_CAROUSELS/CH06/CH06_02.jpg
Intrecci_Sbagliati_Social_Pack/03_CAROUSELS/CH06/CH06_03.jpg</t>
  </si>
  <si>
    <t>S23</t>
  </si>
  <si>
    <t>Legami_Social_Pack/05_CAPTIONS/CH01_caption.txt</t>
  </si>
  <si>
    <t>T017</t>
  </si>
  <si>
    <t>LG_CH02</t>
  </si>
  <si>
    <t>La Benda</t>
  </si>
  <si>
    <t>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Amazon: https://www.amazon.it/dp/B0GZJR8FSJ
#DiariDiPelle #Legami #LaBenda #Trier #NarrativaPsicologica</t>
  </si>
  <si>
    <t>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https://diaridipelle.it/legami.html
🛒 Amazon: https://www.amazon.it/dp/B0GZJR8FSJ
#DiariDiPelle #Legami #LaBenda #Trier #NarrativaPsicologica</t>
  </si>
  <si>
    <t>A Trier, Ella costruisce un compleanno perfetto: musica, eleganza, desiderio e una fiducia capace di sembrare assoluta.
«La Benda» da Legami.
Scopri il libro dal link in bio.
#DiariDiPelle #Legami #BookTokItalia #LibriTikTok</t>
  </si>
  <si>
    <t>Programma Legami · La Benda e Legami · Il Guinzaglio.</t>
  </si>
  <si>
    <t>https://diaridipelle.it/legami.html?utm_source=instagram&amp;utm_medium=story&amp;utm_campaign=legami&amp;utm_content=ch02</t>
  </si>
  <si>
    <t>https://diaridipelle.it/legami.html?utm_source=facebook&amp;utm_medium=story&amp;utm_campaign=legami&amp;utm_content=ch02</t>
  </si>
  <si>
    <t>Intrecci_Sbagliati_Social_Pack/01_REELS/CH07_reel.mp4</t>
  </si>
  <si>
    <t>Intrecci_Sbagliati_Social_Pack/02_REEL_COVERS/CH07_cover.jpg</t>
  </si>
  <si>
    <t>Intrecci_Sbagliati_Social_Pack/04_STORIES/CH07_story.jpg</t>
  </si>
  <si>
    <t>Intrecci_Sbagliati_Social_Pack/03_CAROUSELS/CH07/CH07_01.jpg
Intrecci_Sbagliati_Social_Pack/03_CAROUSELS/CH07/CH07_02.jpg
Intrecci_Sbagliati_Social_Pack/03_CAROUSELS/CH07/CH07_03.jpg</t>
  </si>
  <si>
    <t>Legami_Social_Pack/05_CAPTIONS/CH02_caption.txt</t>
  </si>
  <si>
    <t>S24</t>
  </si>
  <si>
    <t>T018</t>
  </si>
  <si>
    <t>LG_CH03</t>
  </si>
  <si>
    <t>Il Guinzaglio</t>
  </si>
  <si>
    <t>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Amazon: https://www.amazon.it/dp/B0GZJR8FSJ
#DiariDiPelle #Legami #IlGuinzaglio #Padova #DipendenzaAffettiva</t>
  </si>
  <si>
    <t>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https://diaridipelle.it/legami.html
🛒 Amazon: https://www.amazon.it/dp/B0GZJR8FSJ
#DiariDiPelle #Legami #IlGuinzaglio #Padova #DipendenzaAffettiva</t>
  </si>
  <si>
    <t>A Padova, Virginia ritorna mentre Ella continua a vivere in ogni fantasia.
«Il Guinzaglio» da Legami.
Scopri il libro dal link in bio.
#DiariDiPelle #Legami #BookTokItalia #LibriTikTok</t>
  </si>
  <si>
    <t>Notti_Fugaci_Social_Pack/05_CAPTIONS/CH02_story_link.txt</t>
  </si>
  <si>
    <t>https://diaridipelle.it/legami.html?utm_source=instagram&amp;utm_medium=story&amp;utm_campaign=legami&amp;utm_content=ch03</t>
  </si>
  <si>
    <t>https://diaridipelle.it/legami.html?utm_source=facebook&amp;utm_medium=story&amp;utm_campaign=legami&amp;utm_content=ch03</t>
  </si>
  <si>
    <t>Programma Legami · Il Nodo e Legami · Il Morso.</t>
  </si>
  <si>
    <t>Legami_Social_Pack/05_CAPTIONS/CH03_caption.txt</t>
  </si>
  <si>
    <t>T019</t>
  </si>
  <si>
    <t>LG_CH04</t>
  </si>
  <si>
    <t>Intrecci_Sbagliati_Social_Pack/01_REELS/CH08_reel.mp4</t>
  </si>
  <si>
    <t>S25</t>
  </si>
  <si>
    <t>Intrecci_Sbagliati_Social_Pack/02_REEL_COVERS/CH08_cover.jpg</t>
  </si>
  <si>
    <t>Intrecci_Sbagliati_Social_Pack/04_STORIES/CH08_story.jpg</t>
  </si>
  <si>
    <t>Il Nodo</t>
  </si>
  <si>
    <t>Intrecci_Sbagliati_Social_Pack/03_CAROUSELS/CH08/CH08_01.jpg
Intrecci_Sbagliati_Social_Pack/03_CAROUSELS/CH08/CH08_02.jpg
Intrecci_Sbagliati_Social_Pack/03_CAROUSELS/CH08/CH08_03.jpg</t>
  </si>
  <si>
    <t>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Amazon: https://www.amazon.it/dp/B0GZJR8FSJ
#DiariDiPelle #Legami #IlNodo #Bologna #Relazioni</t>
  </si>
  <si>
    <t>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https://diaridipelle.it/legami.html
🛒 Amazon: https://www.amazon.it/dp/B0GZJR8FSJ
#DiariDiPelle #Legami #IlNodo #Bologna #Relazioni</t>
  </si>
  <si>
    <t>Ella chiede una pausa. Lui la trasforma in una fine e prova a riempire il vuoto con il ritorno di Héloïse.
«Il Nodo» da Legami.
Scopri il libro dal link in bio.
#DiariDiPelle #Legami #BookTokItalia #LibriTikTok</t>
  </si>
  <si>
    <t>https://diaridipelle.it/legami.html?utm_source=instagram&amp;utm_medium=story&amp;utm_campaign=legami&amp;utm_content=ch04</t>
  </si>
  <si>
    <t>https://diaridipelle.it/legami.html?utm_source=facebook&amp;utm_medium=story&amp;utm_campaign=legami&amp;utm_content=ch04</t>
  </si>
  <si>
    <t>Programma Legami · Le redini e Legami · La catena.</t>
  </si>
  <si>
    <t>Legami_Social_Pack/05_CAPTIONS/CH04_caption.txt</t>
  </si>
  <si>
    <t>LG_CH05</t>
  </si>
  <si>
    <t>T020</t>
  </si>
  <si>
    <t>Intrecci_Sbagliati_Social_Pack/01_REELS/CH09_reel.mp4</t>
  </si>
  <si>
    <t>Intrecci_Sbagliati_Social_Pack/02_REEL_COVERS/CH09_cover.jpg</t>
  </si>
  <si>
    <t>Il Morso</t>
  </si>
  <si>
    <t>Intrecci_Sbagliati_Social_Pack/04_STORIES/CH09_story.jpg</t>
  </si>
  <si>
    <t>Intrecci_Sbagliati_Social_Pack/03_CAROUSELS/CH09/CH09_01.jpg
Intrecci_Sbagliati_Social_Pack/03_CAROUSELS/CH09/CH09_02.jpg
Intrecci_Sbagliati_Social_Pack/03_CAROUSELS/CH09/CH09_03.jpg</t>
  </si>
  <si>
    <t>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Amazon: https://www.amazon.it/dp/B0GZJR8FSJ
#DiariDiPelle #Legami #IlMorso #Bologna #LibriDaLeggere</t>
  </si>
  <si>
    <t>S26</t>
  </si>
  <si>
    <t>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https://diaridipelle.it/legami.html
🛒 Amazon: https://www.amazon.it/dp/B0GZJR8FSJ
#DiariDiPelle #Legami #IlMorso #Bologna #LibriDaLeggere</t>
  </si>
  <si>
    <t>Bologna, luglio. Una cena, il vino, una donna arrivata da Chicago e una notte troppo intensa per diventare abitudine.
«Il Morso» da Legami.
Scopri il libro dal link in bio.
#DiariDiPelle #Legami #BookTokItalia #LibriTikTok</t>
  </si>
  <si>
    <t>https://diaridipelle.it/legami.html?utm_source=instagram&amp;utm_medium=story&amp;utm_campaign=legami&amp;utm_content=ch05</t>
  </si>
  <si>
    <t>https://diaridipelle.it/legami.html?utm_source=facebook&amp;utm_medium=story&amp;utm_campaign=legami&amp;utm_content=ch05</t>
  </si>
  <si>
    <t>Legami_Social_Pack/05_CAPTIONS/CH05_caption.txt</t>
  </si>
  <si>
    <t>LG_CH06</t>
  </si>
  <si>
    <t>Programma Legami · La chiave sbagliata e Legami · Safe Word.</t>
  </si>
  <si>
    <t>Le redini</t>
  </si>
  <si>
    <t>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Amazon: https://www.amazon.it/dp/B0GZJR8FSJ
#DiariDiPelle #Legami #LeRedini #Salsa #NarrativaItaliana</t>
  </si>
  <si>
    <t>Intrecci_Sbagliati_Social_Pack/01_REELS/CH10_reel.mp4</t>
  </si>
  <si>
    <t>Intrecci_Sbagliati_Social_Pack/02_REEL_COVERS/CH10_cover.jpg</t>
  </si>
  <si>
    <t>Intrecci_Sbagliati_Social_Pack/04_STORIES/CH10_story.jpg</t>
  </si>
  <si>
    <t>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https://diaridipelle.it/legami.html
🛒 Amazon: https://www.amazon.it/dp/B0GZJR8FSJ
#DiariDiPelle #Legami #LeRedini #Salsa #NarrativaItaliana</t>
  </si>
  <si>
    <t>Intrecci_Sbagliati_Social_Pack/03_CAROUSELS/CH10/CH10_01.jpg
Intrecci_Sbagliati_Social_Pack/03_CAROUSELS/CH10/CH10_02.jpg
Intrecci_Sbagliati_Social_Pack/03_CAROUSELS/CH10/CH10_03.jpg</t>
  </si>
  <si>
    <t>Tra salsa, gelosie e desiderio, Mariella vuole sentirsi finalmente scelta.
«Le redini» da Legami.
Scopri il libro dal link in bio.
#DiariDiPelle #Legami #BookTokItalia #LibriTikTok</t>
  </si>
  <si>
    <t>https://diaridipelle.it/legami.html?utm_source=instagram&amp;utm_medium=story&amp;utm_campaign=legami&amp;utm_content=ch06</t>
  </si>
  <si>
    <t>https://diaridipelle.it/legami.html?utm_source=facebook&amp;utm_medium=story&amp;utm_campaign=legami&amp;utm_content=ch06</t>
  </si>
  <si>
    <t>S10</t>
  </si>
  <si>
    <t>Legami_Social_Pack/05_CAPTIONS/CH06_caption.txt</t>
  </si>
  <si>
    <t>LG_CH07</t>
  </si>
  <si>
    <t>T021</t>
  </si>
  <si>
    <t>Legami_Social_Pack.zip</t>
  </si>
  <si>
    <t>Legami_Social_Pack/01_REELS/TRAILER_reel.mp4</t>
  </si>
  <si>
    <t>Legami_Social_Pack/02_REEL_COVERS/TRAILER_cover.jpg</t>
  </si>
  <si>
    <t>La catena</t>
  </si>
  <si>
    <t>Legami_Social_Pack/04_STORIES/TRAILER_story.jpg</t>
  </si>
  <si>
    <t>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Amazon: https://www.amazon.it/dp/B0GZJR8FSJ
#DiariDiPelle #Legami #LaCatena #Verona #NarrativaContemporanea</t>
  </si>
  <si>
    <t>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https://diaridipelle.it/legami.html
🛒 Amazon: https://www.amazon.it/dp/B0GZJR8FSJ
#DiariDiPelle #Legami #LaCatena #Verona #NarrativaContemporanea</t>
  </si>
  <si>
    <t>Legami_Social_Pack/03_CAROUSELS/TRAILER/TRAILER_01.jpg
Legami_Social_Pack/03_CAROUSELS/TRAILER/TRAILER_02.jpg
Legami_Social_Pack/03_CAROUSELS/TRAILER/TRAILER_03.jpg</t>
  </si>
  <si>
    <t>Verona doveva essere una sorpresa romantica. Una stanza d'albergo trasforma invece il gioco in paura, corsa e vergogna.
«La catena» da Legami.
Scopri il libro dal link in bio.
#DiariDiPelle #Legami #BookTokItalia #LibriTikTok</t>
  </si>
  <si>
    <t>https://diaridipelle.it/legami.html?utm_source=instagram&amp;utm_medium=story&amp;utm_campaign=legami&amp;utm_content=ch07</t>
  </si>
  <si>
    <t>https://diaridipelle.it/legami.html?utm_source=facebook&amp;utm_medium=story&amp;utm_campaign=legami&amp;utm_content=ch07</t>
  </si>
  <si>
    <t>Campagne 33–34.</t>
  </si>
  <si>
    <t>Legami_Social_Pack/05_CAPTIONS/CH07_caption.txt</t>
  </si>
  <si>
    <t>S09</t>
  </si>
  <si>
    <t>LG_CH08</t>
  </si>
  <si>
    <t>T022</t>
  </si>
  <si>
    <t>La chiave sbagliata</t>
  </si>
  <si>
    <t>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Amazon: https://www.amazon.it/dp/B0GZJR8FSJ
#DiariDiPelle #Legami #LaChiaveSbagliata #Puglia #NarrativaPsicologica</t>
  </si>
  <si>
    <t>Legami_Social_Pack/01_REELS/CH01_reel.mp4</t>
  </si>
  <si>
    <t>Legami_Social_Pack/02_REEL_COVERS/CH01_cover.jpg</t>
  </si>
  <si>
    <t>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https://diaridipelle.it/legami.html
🛒 Amazon: https://www.amazon.it/dp/B0GZJR8FSJ
#DiariDiPelle #Legami #LaChiaveSbagliata #Puglia #NarrativaPsicologica</t>
  </si>
  <si>
    <t>Legami_Social_Pack/04_STORIES/CH01_story.jpg</t>
  </si>
  <si>
    <t>Legami_Social_Pack/03_CAROUSELS/CH01/CH01_01.jpg
Legami_Social_Pack/03_CAROUSELS/CH01/CH01_02.jpg
Legami_Social_Pack/03_CAROUSELS/CH01/CH01_03.jpg</t>
  </si>
  <si>
    <t>Ella riceve una chiave di casa, ma Bologna non riesce a diventare davvero casa per lei.
«La chiave sbagliata» da Legami.
Scopri il libro dal link in bio.
#DiariDiPelle #Legami #BookTokItalia #LibriTikTok</t>
  </si>
  <si>
    <t>https://diaridipelle.it/legami.html?utm_source=instagram&amp;utm_medium=story&amp;utm_campaign=legami&amp;utm_content=ch08</t>
  </si>
  <si>
    <t>https://diaridipelle.it/legami.html?utm_source=facebook&amp;utm_medium=story&amp;utm_campaign=legami&amp;utm_content=ch08</t>
  </si>
  <si>
    <t>Legami_Social_Pack/05_CAPTIONS/CH08_caption.txt</t>
  </si>
  <si>
    <t>T023</t>
  </si>
  <si>
    <t>LG_CH09</t>
  </si>
  <si>
    <t>Legami_Social_Pack/01_REELS/CH02_reel.mp4</t>
  </si>
  <si>
    <t>Legami_Social_Pack/02_REEL_COVERS/CH02_cover.jpg</t>
  </si>
  <si>
    <t>Legami_Social_Pack/04_STORIES/CH02_story.jpg</t>
  </si>
  <si>
    <t>S27</t>
  </si>
  <si>
    <t>Legami_Social_Pack/03_CAROUSELS/CH02/CH02_01.jpg
Legami_Social_Pack/03_CAROUSELS/CH02/CH02_02.jpg
Legami_Social_Pack/03_CAROUSELS/CH02/CH02_03.jpg</t>
  </si>
  <si>
    <t>Safe Word</t>
  </si>
  <si>
    <t>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Amazon: https://www.amazon.it/dp/B0GZJR8FSJ
#DiariDiPelle #Legami #SafeWord #Francoforte #RomanziItaliani</t>
  </si>
  <si>
    <t>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https://diaridipelle.it/legami.html
🛒 Amazon: https://www.amazon.it/dp/B0GZJR8FSJ
#DiariDiPelle #Legami #SafeWord #Francoforte #RomanziItaliani</t>
  </si>
  <si>
    <t>A Bologna, Ella e il narratore trasformano i conflitti in una grammatica privata fatta di regole, confini e una parola di sicurezza.
«Safe Word» da Legami.
Scopri il libro dal link in bio.
#DiariDiPelle #Legami #BookTokItalia #LibriTikTok</t>
  </si>
  <si>
    <t>https://diaridipelle.it/legami.html?utm_source=instagram&amp;utm_medium=story&amp;utm_campaign=legami&amp;utm_content=ch09</t>
  </si>
  <si>
    <t>https://diaridipelle.it/legami.html?utm_source=facebook&amp;utm_medium=story&amp;utm_campaign=legami&amp;utm_content=ch09</t>
  </si>
  <si>
    <t>T024</t>
  </si>
  <si>
    <t>Legami_Social_Pack/01_REELS/CH03_reel.mp4</t>
  </si>
  <si>
    <t>Legami_Social_Pack/02_REEL_COVERS/CH03_cover.jpg</t>
  </si>
  <si>
    <t>Legami_Social_Pack/04_STORIES/CH03_story.jpg</t>
  </si>
  <si>
    <t>Legami_Social_Pack/03_CAROUSELS/CH03/CH03_01.jpg
Legami_Social_Pack/03_CAROUSELS/CH03/CH03_02.jpg
Legami_Social_Pack/03_CAROUSELS/CH03/CH03_03.jpg</t>
  </si>
  <si>
    <t>Legami_Social_Pack/05_CAPTIONS/CH09_caption.txt</t>
  </si>
  <si>
    <t>Programma Legami · La sospensione e Legami · Il legame che torna.</t>
  </si>
  <si>
    <t>LG_CH10</t>
  </si>
  <si>
    <t>La sospensione</t>
  </si>
  <si>
    <t>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Amazon: https://www.amazon.it/dp/B0GZJR8FSJ
#DiariDiPelle #Legami #LaSospensione #Lutto #NarrativaItaliana</t>
  </si>
  <si>
    <t>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https://diaridipelle.it/legami.html
🛒 Amazon: https://www.amazon.it/dp/B0GZJR8FSJ
#DiariDiPelle #Legami #LaSospensione #Lutto #NarrativaItaliana</t>
  </si>
  <si>
    <t>Una telefonata interrompe Francoforte e riporta tutto verso la famiglia, la malattia di un padre e il tempo che si restringe.
«La sospensione» da Legami.
Scopri il libro dal link in bio.
#DiariDiPelle #Legami #BookTokItalia #LibriTikTok</t>
  </si>
  <si>
    <t>https://diaridipelle.it/legami.html?utm_source=instagram&amp;utm_medium=story&amp;utm_campaign=legami&amp;utm_content=ch10</t>
  </si>
  <si>
    <t>https://diaridipelle.it/legami.html?utm_source=facebook&amp;utm_medium=story&amp;utm_campaign=legami&amp;utm_content=ch10</t>
  </si>
  <si>
    <t>Legami_Social_Pack/05_CAPTIONS/CH10_caption.txt</t>
  </si>
  <si>
    <t>T025</t>
  </si>
  <si>
    <t>LG_EXTRA</t>
  </si>
  <si>
    <t>EXTRA</t>
  </si>
  <si>
    <t>Il legame che torna</t>
  </si>
  <si>
    <t>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Amazon: https://www.amazon.it/dp/B0GZJR8FSJ
#DiariDiPelle #Legami #BookReel #BookstagramItalia #NarrativaPsicologica</t>
  </si>
  <si>
    <t>Legami_Social_Pack/01_REELS/CH04_reel.mp4</t>
  </si>
  <si>
    <t>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https://diaridipelle.it/legami.html
🛒 Amazon: https://www.amazon.it/dp/B0GZJR8FSJ
#DiariDiPelle #Legami #BookReel #BookstagramItalia #NarrativaPsicologica</t>
  </si>
  <si>
    <t>Legami_Social_Pack/02_REEL_COVERS/CH04_cover.jpg</t>
  </si>
  <si>
    <t>Si può provare a cambiare città, corpo, ritmo e promessa. Ma certi legami continuano a tirare anche quando sembrano finiti.
«Il legame che torna» da Legami.
Scopri il libro dal link in bio.
#DiariDiPelle #Legami #BookTokItalia #LibriTikTok</t>
  </si>
  <si>
    <t>Legami_Social_Pack/04_STORIES/CH04_story.jpg</t>
  </si>
  <si>
    <t>https://diaridipelle.it/legami.html?utm_source=instagram&amp;utm_medium=story&amp;utm_campaign=legami&amp;utm_content=extra</t>
  </si>
  <si>
    <t>https://diaridipelle.it/legami.html?utm_source=facebook&amp;utm_medium=story&amp;utm_campaign=legami&amp;utm_content=extra</t>
  </si>
  <si>
    <t>Legami_Social_Pack/03_CAROUSELS/CH04/CH04_01.jpg
Legami_Social_Pack/03_CAROUSELS/CH04/CH04_02.jpg
Legami_Social_Pack/03_CAROUSELS/CH04/CH04_03.jpg</t>
  </si>
  <si>
    <t>Legami_Social_Pack/05_CAPTIONS/EXTRA_caption.txt</t>
  </si>
  <si>
    <t>Notti_Fugaci_Social_Pack/05_CAPTIONS/CH03_story_link.txt</t>
  </si>
  <si>
    <t>T026</t>
  </si>
  <si>
    <t>Legami_Social_Pack/01_REELS/CH05_reel.mp4</t>
  </si>
  <si>
    <t>Legami_Social_Pack/02_REEL_COVERS/CH05_cover.jpg</t>
  </si>
  <si>
    <t>Legami_Social_Pack/04_STORIES/CH05_story.jpg</t>
  </si>
  <si>
    <t>Legami_Social_Pack/03_CAROUSELS/CH05/CH05_01.jpg
Legami_Social_Pack/03_CAROUSELS/CH05/CH05_02.jpg
Legami_Social_Pack/03_CAROUSELS/CH05/CH05_03.jpg</t>
  </si>
  <si>
    <t>T027</t>
  </si>
  <si>
    <t>Legami_Social_Pack/01_REELS/CH06_reel.mp4</t>
  </si>
  <si>
    <t>Legami_Social_Pack/02_REEL_COVERS/CH06_cover.jpg</t>
  </si>
  <si>
    <t>Legami_Social_Pack/04_STORIES/CH06_story.jpg</t>
  </si>
  <si>
    <t>Legami_Social_Pack/03_CAROUSELS/CH06/CH06_01.jpg
Legami_Social_Pack/03_CAROUSELS/CH06/CH06_02.jpg
Legami_Social_Pack/03_CAROUSELS/CH06/CH06_03.jpg</t>
  </si>
  <si>
    <t>T028</t>
  </si>
  <si>
    <t>Legami_Social_Pack/01_REELS/CH07_reel.mp4</t>
  </si>
  <si>
    <t>Legami_Social_Pack/02_REEL_COVERS/CH07_cover.jpg</t>
  </si>
  <si>
    <t>Legami_Social_Pack/04_STORIES/CH07_story.jpg</t>
  </si>
  <si>
    <t>Legami_Social_Pack/03_CAROUSELS/CH07/CH07_01.jpg
Legami_Social_Pack/03_CAROUSELS/CH07/CH07_02.jpg
Legami_Social_Pack/03_CAROUSELS/CH07/CH07_03.jpg</t>
  </si>
  <si>
    <t>Legami_Social_Pack/01_REELS/CH08_reel.mp4</t>
  </si>
  <si>
    <t>Legami_Social_Pack/02_REEL_COVERS/CH08_cover.jpg</t>
  </si>
  <si>
    <t>Legami_Social_Pack/04_STORIES/CH08_story.jpg</t>
  </si>
  <si>
    <t>T029</t>
  </si>
  <si>
    <t>Legami_Social_Pack/03_CAROUSELS/CH08/CH08_01.jpg
Legami_Social_Pack/03_CAROUSELS/CH08/CH08_02.jpg
Legami_Social_Pack/03_CAROUSELS/CH08/CH08_03.jpg</t>
  </si>
  <si>
    <t>Legami_Social_Pack/01_REELS/CH09_reel.mp4</t>
  </si>
  <si>
    <t>Legami_Social_Pack/02_REEL_COVERS/CH09_cover.jpg</t>
  </si>
  <si>
    <t>Legami_Social_Pack/04_STORIES/CH09_story.jpg</t>
  </si>
  <si>
    <t>Legami_Social_Pack/03_CAROUSELS/CH09/CH09_01.jpg
Legami_Social_Pack/03_CAROUSELS/CH09/CH09_02.jpg
Legami_Social_Pack/03_CAROUSELS/CH09/CH09_03.jpg</t>
  </si>
  <si>
    <t>T030</t>
  </si>
  <si>
    <t>Legami_Social_Pack/01_REELS/CH10_reel.mp4</t>
  </si>
  <si>
    <t>Legami_Social_Pack/02_REEL_COVERS/CH10_cover.jpg</t>
  </si>
  <si>
    <t>Legami_Social_Pack/04_STORIES/CH10_story.jpg</t>
  </si>
  <si>
    <t>Legami_Social_Pack/03_CAROUSELS/CH10/CH10_01.jpg
Legami_Social_Pack/03_CAROUSELS/CH10/CH10_02.jpg
Legami_Social_Pack/03_CAROUSELS/CH10/CH10_03.jpg</t>
  </si>
  <si>
    <t>T031</t>
  </si>
  <si>
    <t>Legami_Social_Pack/01_REELS/EXTRA_reel.mp4</t>
  </si>
  <si>
    <t>Legami_Social_Pack/02_REEL_COVERS/EXTRA_cover.jpg</t>
  </si>
  <si>
    <t>Legami_Social_Pack/04_STORIES/EXTRA_story.jpg</t>
  </si>
  <si>
    <t>Legami_Social_Pack/03_CAROUSELS/EXTRA/EXTRA_01.jpg
Legami_Social_Pack/03_CAROUSELS/EXTRA/EXTRA_02.jpg
Legami_Social_Pack/03_CAROUSELS/EXTRA/EXTRA_03.jpg</t>
  </si>
  <si>
    <t>T032</t>
  </si>
  <si>
    <t>Notti_Fugaci_Social_Pack/05_CAPTIONS/CH04_story_link.txt</t>
  </si>
  <si>
    <t>T033</t>
  </si>
  <si>
    <t>T034</t>
  </si>
  <si>
    <t>T035</t>
  </si>
  <si>
    <t>T036</t>
  </si>
  <si>
    <t>T037</t>
  </si>
  <si>
    <t>T038</t>
  </si>
  <si>
    <t>T039</t>
  </si>
  <si>
    <t>Notti_Fugaci_Social_Pack/05_CAPTIONS/CH05_story_link.txt</t>
  </si>
  <si>
    <t>T040</t>
  </si>
  <si>
    <t>T041</t>
  </si>
  <si>
    <t>T042</t>
  </si>
  <si>
    <t>T043</t>
  </si>
  <si>
    <t>T044</t>
  </si>
  <si>
    <t>T045</t>
  </si>
  <si>
    <t>T046</t>
  </si>
  <si>
    <t>Notti_Fugaci_Social_Pack/05_CAPTIONS/CH06_story_link.txt</t>
  </si>
  <si>
    <t>T047</t>
  </si>
  <si>
    <t>T048</t>
  </si>
  <si>
    <t>T049</t>
  </si>
  <si>
    <t>T050</t>
  </si>
  <si>
    <t>T051</t>
  </si>
  <si>
    <t>T052</t>
  </si>
  <si>
    <t>T053</t>
  </si>
  <si>
    <t>Notti_Fugaci_Social_Pack/05_CAPTIONS/CH07_story_link.txt</t>
  </si>
  <si>
    <t>T054</t>
  </si>
  <si>
    <t>T055</t>
  </si>
  <si>
    <t>T056</t>
  </si>
  <si>
    <t>T057</t>
  </si>
  <si>
    <t>T058</t>
  </si>
  <si>
    <t>T059</t>
  </si>
  <si>
    <t>T060</t>
  </si>
  <si>
    <t>Notti_Fugaci_Social_Pack/05_CAPTIONS/CH08_story_link.txt</t>
  </si>
  <si>
    <t>T061</t>
  </si>
  <si>
    <t>T062</t>
  </si>
  <si>
    <t>T063</t>
  </si>
  <si>
    <t>T064</t>
  </si>
  <si>
    <t>T065</t>
  </si>
  <si>
    <t>T066</t>
  </si>
  <si>
    <t>T067</t>
  </si>
  <si>
    <t>Notti_Fugaci_Social_Pack/05_CAPTIONS/CH09_story_link.txt</t>
  </si>
  <si>
    <t>T068</t>
  </si>
  <si>
    <t>T069</t>
  </si>
  <si>
    <t>T070</t>
  </si>
  <si>
    <t>T071</t>
  </si>
  <si>
    <t>T072</t>
  </si>
  <si>
    <t>T073</t>
  </si>
  <si>
    <t>T074</t>
  </si>
  <si>
    <t>Notti_Fugaci_Social_Pack/05_CAPTIONS/CH10_story_link.txt</t>
  </si>
  <si>
    <t>T075</t>
  </si>
  <si>
    <t>T076</t>
  </si>
  <si>
    <t>T077</t>
  </si>
  <si>
    <t>T078</t>
  </si>
  <si>
    <t>T079</t>
  </si>
  <si>
    <t>T080</t>
  </si>
  <si>
    <t>T081</t>
  </si>
  <si>
    <t>Intrecci_Sbagliati_Social_Pack/05_CAPTIONS/TRAILER_story_link.txt</t>
  </si>
  <si>
    <t>T082</t>
  </si>
  <si>
    <t>T083</t>
  </si>
  <si>
    <t>T084</t>
  </si>
  <si>
    <t>T085</t>
  </si>
  <si>
    <t>T086</t>
  </si>
  <si>
    <t>T087</t>
  </si>
  <si>
    <t>T088</t>
  </si>
  <si>
    <t>Intrecci_Sbagliati_Social_Pack/05_CAPTIONS/CH01_story_link.txt</t>
  </si>
  <si>
    <t>T089</t>
  </si>
  <si>
    <t>T090</t>
  </si>
  <si>
    <t>T091</t>
  </si>
  <si>
    <t>T092</t>
  </si>
  <si>
    <t>T093</t>
  </si>
  <si>
    <t>T094</t>
  </si>
  <si>
    <t>T095</t>
  </si>
  <si>
    <t>Intrecci_Sbagliati_Social_Pack/05_CAPTIONS/CH02_story_link.txt</t>
  </si>
  <si>
    <t>T096</t>
  </si>
  <si>
    <t>T097</t>
  </si>
  <si>
    <t>T098</t>
  </si>
  <si>
    <t>T099</t>
  </si>
  <si>
    <t>T100</t>
  </si>
  <si>
    <t>T101</t>
  </si>
  <si>
    <t>T102</t>
  </si>
  <si>
    <t>Intrecci_Sbagliati_Social_Pack/05_CAPTIONS/CH03_story_link.txt</t>
  </si>
  <si>
    <t>T103</t>
  </si>
  <si>
    <t>T104</t>
  </si>
  <si>
    <t>T105</t>
  </si>
  <si>
    <t>T106</t>
  </si>
  <si>
    <t>T107</t>
  </si>
  <si>
    <t>T108</t>
  </si>
  <si>
    <t>T109</t>
  </si>
  <si>
    <t>Intrecci_Sbagliati_Social_Pack/05_CAPTIONS/CH04_story_link.txt</t>
  </si>
  <si>
    <t>T110</t>
  </si>
  <si>
    <t>T111</t>
  </si>
  <si>
    <t>T112</t>
  </si>
  <si>
    <t>T113</t>
  </si>
  <si>
    <t>T114</t>
  </si>
  <si>
    <t>T115</t>
  </si>
  <si>
    <t>T116</t>
  </si>
  <si>
    <t>Intrecci_Sbagliati_Social_Pack/05_CAPTIONS/CH05_story_link.txt</t>
  </si>
  <si>
    <t>T117</t>
  </si>
  <si>
    <t>T118</t>
  </si>
  <si>
    <t>T119</t>
  </si>
  <si>
    <t>T120</t>
  </si>
  <si>
    <t>T121</t>
  </si>
  <si>
    <t>T122</t>
  </si>
  <si>
    <t>T123</t>
  </si>
  <si>
    <t>Intrecci_Sbagliati_Social_Pack/05_CAPTIONS/CH06_story_link.txt</t>
  </si>
  <si>
    <t>T124</t>
  </si>
  <si>
    <t>T125</t>
  </si>
  <si>
    <t>T126</t>
  </si>
  <si>
    <t>T127</t>
  </si>
  <si>
    <t>T128</t>
  </si>
  <si>
    <t>T129</t>
  </si>
  <si>
    <t>T130</t>
  </si>
  <si>
    <t>Intrecci_Sbagliati_Social_Pack/05_CAPTIONS/CH07_story_link.txt</t>
  </si>
  <si>
    <t>T131</t>
  </si>
  <si>
    <t>T132</t>
  </si>
  <si>
    <t>T133</t>
  </si>
  <si>
    <t>T134</t>
  </si>
  <si>
    <t>T135</t>
  </si>
  <si>
    <t>T136</t>
  </si>
  <si>
    <t>T137</t>
  </si>
  <si>
    <t>Intrecci_Sbagliati_Social_Pack/05_CAPTIONS/CH08_story_link.txt</t>
  </si>
  <si>
    <t>T138</t>
  </si>
  <si>
    <t>T139</t>
  </si>
  <si>
    <t>T140</t>
  </si>
  <si>
    <t>T141</t>
  </si>
  <si>
    <t>T142</t>
  </si>
  <si>
    <t>T143</t>
  </si>
  <si>
    <t>T144</t>
  </si>
  <si>
    <t>Intrecci_Sbagliati_Social_Pack/05_CAPTIONS/CH09_story_link.txt</t>
  </si>
  <si>
    <t>T145</t>
  </si>
  <si>
    <t>T146</t>
  </si>
  <si>
    <t>T147</t>
  </si>
  <si>
    <t>T148</t>
  </si>
  <si>
    <t>T149</t>
  </si>
  <si>
    <t>T150</t>
  </si>
  <si>
    <t>T151</t>
  </si>
  <si>
    <t>Intrecci_Sbagliati_Social_Pack/05_CAPTIONS/CH10_story_link.txt</t>
  </si>
  <si>
    <t>T152</t>
  </si>
  <si>
    <t>T153</t>
  </si>
  <si>
    <t>T154</t>
  </si>
  <si>
    <t>T155</t>
  </si>
  <si>
    <t>T156</t>
  </si>
  <si>
    <t>T157</t>
  </si>
  <si>
    <t>T158</t>
  </si>
  <si>
    <t>Legami_Social_Pack/05_CAPTIONS/TRAILER_story_link.txt</t>
  </si>
  <si>
    <t>T159</t>
  </si>
  <si>
    <t>T160</t>
  </si>
  <si>
    <t>T161</t>
  </si>
  <si>
    <t>T162</t>
  </si>
  <si>
    <t>T163</t>
  </si>
  <si>
    <t>T164</t>
  </si>
  <si>
    <t>T165</t>
  </si>
  <si>
    <t>Legami_Social_Pack/05_CAPTIONS/CH01_story_link.txt</t>
  </si>
  <si>
    <t>T166</t>
  </si>
  <si>
    <t>T167</t>
  </si>
  <si>
    <t>T168</t>
  </si>
  <si>
    <t>T169</t>
  </si>
  <si>
    <t>T170</t>
  </si>
  <si>
    <t>T171</t>
  </si>
  <si>
    <t>T172</t>
  </si>
  <si>
    <t>Legami_Social_Pack/05_CAPTIONS/CH02_story_link.txt</t>
  </si>
  <si>
    <t>T173</t>
  </si>
  <si>
    <t>T174</t>
  </si>
  <si>
    <t>T175</t>
  </si>
  <si>
    <t>T176</t>
  </si>
  <si>
    <t>T177</t>
  </si>
  <si>
    <t>T178</t>
  </si>
  <si>
    <t>T179</t>
  </si>
  <si>
    <t>Legami_Social_Pack/05_CAPTIONS/CH03_story_link.txt</t>
  </si>
  <si>
    <t>T180</t>
  </si>
  <si>
    <t>T181</t>
  </si>
  <si>
    <t>T182</t>
  </si>
  <si>
    <t>T183</t>
  </si>
  <si>
    <t>T184</t>
  </si>
  <si>
    <t>T185</t>
  </si>
  <si>
    <t>T186</t>
  </si>
  <si>
    <t>Legami_Social_Pack/05_CAPTIONS/CH04_story_link.txt</t>
  </si>
  <si>
    <t>T187</t>
  </si>
  <si>
    <t>T188</t>
  </si>
  <si>
    <t>T189</t>
  </si>
  <si>
    <t>T190</t>
  </si>
  <si>
    <t>T191</t>
  </si>
  <si>
    <t>T192</t>
  </si>
  <si>
    <t>T193</t>
  </si>
  <si>
    <t>Legami_Social_Pack/05_CAPTIONS/CH05_story_link.txt</t>
  </si>
  <si>
    <t>T194</t>
  </si>
  <si>
    <t>T195</t>
  </si>
  <si>
    <t>T196</t>
  </si>
  <si>
    <t>T197</t>
  </si>
  <si>
    <t>T198</t>
  </si>
  <si>
    <t>T199</t>
  </si>
  <si>
    <t>T200</t>
  </si>
  <si>
    <t>Legami_Social_Pack/05_CAPTIONS/CH06_story_link.txt</t>
  </si>
  <si>
    <t>T201</t>
  </si>
  <si>
    <t>T202</t>
  </si>
  <si>
    <t>T203</t>
  </si>
  <si>
    <t>T204</t>
  </si>
  <si>
    <t>T205</t>
  </si>
  <si>
    <t>T206</t>
  </si>
  <si>
    <t>T207</t>
  </si>
  <si>
    <t>Legami_Social_Pack/05_CAPTIONS/CH07_story_link.txt</t>
  </si>
  <si>
    <t>T208</t>
  </si>
  <si>
    <t>T209</t>
  </si>
  <si>
    <t>T210</t>
  </si>
  <si>
    <t>T211</t>
  </si>
  <si>
    <t>T212</t>
  </si>
  <si>
    <t>T213</t>
  </si>
  <si>
    <t>T214</t>
  </si>
  <si>
    <t>Legami_Social_Pack/05_CAPTIONS/CH08_story_link.txt</t>
  </si>
  <si>
    <t>T215</t>
  </si>
  <si>
    <t>T216</t>
  </si>
  <si>
    <t>T217</t>
  </si>
  <si>
    <t>T218</t>
  </si>
  <si>
    <t>T219</t>
  </si>
  <si>
    <t>T220</t>
  </si>
  <si>
    <t>T221</t>
  </si>
  <si>
    <t>Legami_Social_Pack/05_CAPTIONS/CH09_story_link.txt</t>
  </si>
  <si>
    <t>T222</t>
  </si>
  <si>
    <t>T223</t>
  </si>
  <si>
    <t>T224</t>
  </si>
  <si>
    <t>T225</t>
  </si>
  <si>
    <t>T226</t>
  </si>
  <si>
    <t>T227</t>
  </si>
  <si>
    <t>T228</t>
  </si>
  <si>
    <t>Legami_Social_Pack/05_CAPTIONS/CH10_story_link.txt</t>
  </si>
  <si>
    <t>T229</t>
  </si>
  <si>
    <t>T230</t>
  </si>
  <si>
    <t>T231</t>
  </si>
  <si>
    <t>T232</t>
  </si>
  <si>
    <t>T233</t>
  </si>
  <si>
    <t>T234</t>
  </si>
  <si>
    <t>T235</t>
  </si>
  <si>
    <t>Legami_Social_Pack/05_CAPTIONS/EXTRA_story_link.txt</t>
  </si>
  <si>
    <t>T236</t>
  </si>
  <si>
    <t>T237</t>
  </si>
  <si>
    <t>T238</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</si>
</sst>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hh:mm"/>
  </numFmts>
  <fonts count="20">
    <font>
      <sz val="11.0"/>
      <color rgb="FF000000"/>
      <name val="Carlito"/>
      <scheme val="minor"/>
    </font>
    <font>
      <b/>
      <sz val="10.0"/>
      <color rgb="FFFFFFFF"/>
      <name val="Carlito"/>
    </font>
    <font>
      <i/>
      <sz val="10.0"/>
      <color rgb="FF272523"/>
      <name val="Carlito"/>
    </font>
    <font>
      <sz val="10.0"/>
      <color theme="1"/>
      <name val="Carlito"/>
    </font>
    <font>
      <b/>
      <sz val="10.0"/>
      <color rgb="FF5B2431"/>
      <name val="Carlito"/>
    </font>
    <font>
      <b/>
      <sz val="10.0"/>
      <color rgb="FF7F6000"/>
      <name val="Carlito"/>
    </font>
    <font/>
    <font>
      <b/>
      <sz val="10.0"/>
      <color rgb="FF272523"/>
      <name val="Carlito"/>
    </font>
    <font>
      <b/>
      <sz val="10.0"/>
      <color rgb="FF274E13"/>
      <name val="Carlito"/>
    </font>
    <font>
      <b/>
      <sz val="10.0"/>
      <color rgb="FF134F5C"/>
      <name val="Carlito"/>
    </font>
    <font>
      <sz val="10.0"/>
      <color rgb="FF7F6000"/>
      <name val="Carlito"/>
    </font>
    <font>
      <b/>
      <sz val="9.0"/>
      <color rgb="FFFFFFFF"/>
      <name val="Carlito"/>
    </font>
    <font>
      <sz val="9.0"/>
      <color theme="1"/>
      <name val="Carlito"/>
    </font>
    <font>
      <b/>
      <sz val="9.0"/>
      <color rgb="FF7F6000"/>
      <name val="Carlito"/>
    </font>
    <font>
      <b/>
      <sz val="9.0"/>
      <color rgb="FF134F5C"/>
      <name val="Carlito"/>
    </font>
    <font>
      <u/>
      <sz val="9.0"/>
      <color rgb="FF0000FF"/>
      <name val="Carlito"/>
    </font>
    <font>
      <color theme="1"/>
      <name val="Carlito"/>
      <scheme val="minor"/>
    </font>
    <font>
      <u/>
      <sz val="9.0"/>
      <color rgb="FF0000FF"/>
      <name val="Carlito"/>
    </font>
    <font>
      <u/>
      <sz val="9.0"/>
      <color rgb="FF0000FF"/>
      <name val="Carlito"/>
    </font>
    <font>
      <u/>
      <sz val="9.0"/>
      <color rgb="FF0000FF"/>
      <name val="Carlito"/>
    </font>
  </fonts>
  <fills count="11">
    <fill>
      <patternFill patternType="none"/>
    </fill>
    <fill>
      <patternFill patternType="lightGray"/>
    </fill>
    <fill>
      <patternFill patternType="solid">
        <fgColor rgb="FF5B2431"/>
        <bgColor rgb="FF5B2431"/>
      </patternFill>
    </fill>
    <fill>
      <patternFill patternType="solid">
        <fgColor rgb="FFE9DDCC"/>
        <bgColor rgb="FFE9DDCC"/>
      </patternFill>
    </fill>
    <fill>
      <patternFill patternType="solid">
        <fgColor rgb="FFF8F3EA"/>
        <bgColor rgb="FFF8F3EA"/>
      </patternFill>
    </fill>
    <fill>
      <patternFill patternType="solid">
        <fgColor rgb="FFFFF2CC"/>
        <bgColor rgb="FFFFF2CC"/>
      </patternFill>
    </fill>
    <fill>
      <patternFill patternType="solid">
        <fgColor rgb="FF7B3344"/>
        <bgColor rgb="FF7B3344"/>
      </patternFill>
    </fill>
    <fill>
      <patternFill patternType="solid">
        <fgColor rgb="FFC89B4B"/>
        <bgColor rgb="FFC89B4B"/>
      </patternFill>
    </fill>
    <fill>
      <patternFill patternType="solid">
        <fgColor rgb="FFD9EAD3"/>
        <bgColor rgb="FFD9EAD3"/>
      </patternFill>
    </fill>
    <fill>
      <patternFill patternType="solid">
        <fgColor rgb="FFD9EAF7"/>
        <bgColor rgb="FFD9EAF7"/>
      </patternFill>
    </fill>
    <fill>
      <patternFill patternType="solid">
        <fgColor rgb="FF00FF00"/>
        <bgColor rgb="FF00FF00"/>
      </patternFill>
    </fill>
  </fills>
  <borders count="11">
    <border/>
    <border>
      <left style="medium">
        <color rgb="FFC89B4B"/>
      </left>
      <right style="medium">
        <color rgb="FFC89B4B"/>
      </right>
      <top style="medium">
        <color rgb="FFC89B4B"/>
      </top>
    </border>
    <border>
      <left style="thin">
        <color rgb="FFE9DDCC"/>
      </left>
      <top style="thin">
        <color rgb="FFE9DDCC"/>
      </top>
    </border>
    <border>
      <right style="thin">
        <color rgb="FFE9DDCC"/>
      </right>
      <top style="thin">
        <color rgb="FFE9DDCC"/>
      </top>
    </border>
    <border>
      <left style="medium">
        <color rgb="FFC89B4B"/>
      </left>
      <right style="medium">
        <color rgb="FFC89B4B"/>
      </right>
    </border>
    <border>
      <bottom style="thin">
        <color rgb="FFE9DDCC"/>
      </bottom>
    </border>
    <border>
      <top style="thin">
        <color rgb="FFE9DDCC"/>
      </top>
      <bottom style="thin">
        <color rgb="FFE9DDCC"/>
      </bottom>
    </border>
    <border>
      <left style="thin">
        <color rgb="FFE9DDCC"/>
      </left>
      <bottom style="thin">
        <color rgb="FFE9DDCC"/>
      </bottom>
    </border>
    <border>
      <right style="thin">
        <color rgb="FFE9DDCC"/>
      </right>
      <bottom style="thin">
        <color rgb="FFE9DDCC"/>
      </bottom>
    </border>
    <border>
      <left style="medium">
        <color rgb="FF274E13"/>
      </left>
      <right style="medium">
        <color rgb="FF274E13"/>
      </right>
      <top style="medium">
        <color rgb="FF274E13"/>
      </top>
      <bottom style="medium">
        <color rgb="FF274E13"/>
      </bottom>
    </border>
    <border>
      <top style="thin">
        <color rgb="FFE9DDCC"/>
      </top>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3" fontId="2" numFmtId="0" xfId="0" applyAlignment="1" applyFill="1" applyFont="1">
      <alignment horizontal="center"/>
    </xf>
    <xf borderId="0" fillId="0" fontId="3" numFmtId="0" xfId="0" applyFont="1"/>
    <xf borderId="0" fillId="4" fontId="4" numFmtId="0" xfId="0" applyAlignment="1" applyFill="1" applyFont="1">
      <alignment vertical="center"/>
    </xf>
    <xf borderId="1" fillId="5" fontId="5" numFmtId="164" xfId="0" applyAlignment="1" applyBorder="1" applyFill="1" applyFont="1" applyNumberFormat="1">
      <alignment horizontal="center" vertical="center"/>
    </xf>
    <xf borderId="2" fillId="4" fontId="4" numFmtId="0" xfId="0" applyAlignment="1" applyBorder="1" applyFont="1">
      <alignment horizontal="center" vertical="center"/>
    </xf>
    <xf borderId="0" fillId="6" fontId="1" numFmtId="0" xfId="0" applyFill="1" applyFont="1"/>
    <xf borderId="3" fillId="0" fontId="6" numFmtId="0" xfId="0" applyBorder="1" applyFont="1"/>
    <xf borderId="4" fillId="5" fontId="5" numFmtId="0" xfId="0" applyAlignment="1" applyBorder="1" applyFont="1">
      <alignment horizontal="center" vertical="center"/>
    </xf>
    <xf borderId="0" fillId="7" fontId="1" numFmtId="0" xfId="0" applyAlignment="1" applyFill="1" applyFont="1">
      <alignment horizontal="center" vertical="center"/>
    </xf>
    <xf borderId="5" fillId="4" fontId="3" numFmtId="0" xfId="0" applyAlignment="1" applyBorder="1" applyFont="1">
      <alignment shrinkToFit="0" vertical="center" wrapText="1"/>
    </xf>
    <xf borderId="5" fillId="0" fontId="6" numFmtId="0" xfId="0" applyBorder="1" applyFont="1"/>
    <xf borderId="1" fillId="5" fontId="5" numFmtId="164" xfId="0" applyAlignment="1" applyBorder="1" applyFont="1" applyNumberFormat="1">
      <alignment horizontal="center" readingOrder="0" vertical="center"/>
    </xf>
    <xf borderId="6" fillId="4" fontId="3" numFmtId="0" xfId="0" applyAlignment="1" applyBorder="1" applyFont="1">
      <alignment shrinkToFit="0" vertical="center" wrapText="1"/>
    </xf>
    <xf borderId="6" fillId="0" fontId="6" numFmtId="0" xfId="0" applyBorder="1" applyFont="1"/>
    <xf borderId="7" fillId="4" fontId="7" numFmtId="0" xfId="0" applyAlignment="1" applyBorder="1" applyFont="1">
      <alignment horizontal="center" vertical="center"/>
    </xf>
    <xf borderId="8" fillId="0" fontId="6" numFmtId="0" xfId="0" applyBorder="1" applyFont="1"/>
    <xf borderId="7" fillId="4" fontId="7" numFmtId="164" xfId="0" applyAlignment="1" applyBorder="1" applyFont="1" applyNumberFormat="1">
      <alignment horizontal="center" vertical="center"/>
    </xf>
    <xf borderId="9" fillId="8" fontId="8" numFmtId="164" xfId="0" applyAlignment="1" applyBorder="1" applyFill="1" applyFont="1" applyNumberFormat="1">
      <alignment horizontal="center" vertical="center"/>
    </xf>
    <xf borderId="5" fillId="7" fontId="1" numFmtId="0" xfId="0" applyAlignment="1" applyBorder="1" applyFont="1">
      <alignment horizontal="center" shrinkToFit="0" vertical="center" wrapText="1"/>
    </xf>
    <xf borderId="5" fillId="4" fontId="4" numFmtId="0" xfId="0" applyAlignment="1" applyBorder="1" applyFont="1">
      <alignment shrinkToFit="0" vertical="center" wrapText="1"/>
    </xf>
    <xf borderId="5" fillId="4" fontId="4" numFmtId="0" xfId="0" applyAlignment="1" applyBorder="1" applyFont="1">
      <alignment shrinkToFit="0" wrapText="1"/>
    </xf>
    <xf borderId="6" fillId="7" fontId="1" numFmtId="0" xfId="0" applyAlignment="1" applyBorder="1" applyFont="1">
      <alignment horizontal="center" shrinkToFit="0" vertical="center" wrapText="1"/>
    </xf>
    <xf borderId="5" fillId="9" fontId="9" numFmtId="0" xfId="0" applyAlignment="1" applyBorder="1" applyFill="1" applyFont="1">
      <alignment horizontal="center" shrinkToFit="0" wrapText="1"/>
    </xf>
    <xf borderId="6" fillId="4" fontId="4" numFmtId="0" xfId="0" applyAlignment="1" applyBorder="1" applyFont="1">
      <alignment shrinkToFit="0" vertical="center" wrapText="1"/>
    </xf>
    <xf borderId="0" fillId="5" fontId="10" numFmtId="0" xfId="0" applyAlignment="1" applyFont="1">
      <alignment shrinkToFit="0" vertical="center" wrapText="1"/>
    </xf>
    <xf borderId="6" fillId="4" fontId="4" numFmtId="0" xfId="0" applyAlignment="1" applyBorder="1" applyFont="1">
      <alignment shrinkToFit="0" wrapText="1"/>
    </xf>
    <xf borderId="6" fillId="9" fontId="9" numFmtId="0" xfId="0" applyAlignment="1" applyBorder="1" applyFont="1">
      <alignment horizontal="center" shrinkToFit="0" wrapText="1"/>
    </xf>
    <xf borderId="0" fillId="2" fontId="11" numFmtId="0" xfId="0" applyAlignment="1" applyFont="1">
      <alignment horizontal="center" readingOrder="0" shrinkToFit="0" vertical="center" wrapText="1"/>
    </xf>
    <xf borderId="5" fillId="3" fontId="4" numFmtId="0" xfId="0" applyBorder="1" applyFont="1"/>
    <xf borderId="0" fillId="7" fontId="1" numFmtId="0" xfId="0" applyFont="1"/>
    <xf borderId="6" fillId="0" fontId="3" numFmtId="0" xfId="0" applyBorder="1" applyFont="1"/>
    <xf borderId="6" fillId="0" fontId="3" numFmtId="165" xfId="0" applyBorder="1" applyFont="1" applyNumberFormat="1"/>
    <xf borderId="5" fillId="4" fontId="3" numFmtId="0" xfId="0" applyAlignment="1" applyBorder="1" applyFont="1">
      <alignment shrinkToFit="0" wrapText="1"/>
    </xf>
    <xf borderId="6" fillId="4" fontId="3" numFmtId="0" xfId="0" applyAlignment="1" applyBorder="1" applyFont="1">
      <alignment shrinkToFit="0" wrapText="1"/>
    </xf>
    <xf borderId="5" fillId="4" fontId="12" numFmtId="0" xfId="0" applyAlignment="1" applyBorder="1" applyFont="1">
      <alignment shrinkToFit="0" vertical="top" wrapText="1"/>
    </xf>
    <xf borderId="5" fillId="5" fontId="13" numFmtId="164" xfId="0" applyAlignment="1" applyBorder="1" applyFont="1" applyNumberFormat="1">
      <alignment shrinkToFit="0" vertical="top" wrapText="1"/>
    </xf>
    <xf borderId="5" fillId="4" fontId="12" numFmtId="165" xfId="0" applyAlignment="1" applyBorder="1" applyFont="1" applyNumberFormat="1">
      <alignment shrinkToFit="0" vertical="top" wrapText="1"/>
    </xf>
    <xf borderId="5" fillId="4" fontId="12" numFmtId="164" xfId="0" applyAlignment="1" applyBorder="1" applyFont="1" applyNumberFormat="1">
      <alignment shrinkToFit="0" vertical="top" wrapText="1"/>
    </xf>
    <xf borderId="5" fillId="10" fontId="12" numFmtId="0" xfId="0" applyAlignment="1" applyBorder="1" applyFill="1" applyFont="1">
      <alignment horizontal="center" shrinkToFit="0" vertical="top" wrapText="1"/>
    </xf>
    <xf borderId="0" fillId="5" fontId="5" numFmtId="0" xfId="0" applyAlignment="1" applyFont="1">
      <alignment horizontal="center" shrinkToFit="0" vertical="center" wrapText="1"/>
    </xf>
    <xf borderId="6" fillId="4" fontId="12" numFmtId="0" xfId="0" applyAlignment="1" applyBorder="1" applyFont="1">
      <alignment shrinkToFit="0" vertical="top" wrapText="1"/>
    </xf>
    <xf borderId="5" fillId="10" fontId="13" numFmtId="164" xfId="0" applyAlignment="1" applyBorder="1" applyFont="1" applyNumberFormat="1">
      <alignment horizontal="center" shrinkToFit="0" vertical="top" wrapText="1"/>
    </xf>
    <xf borderId="6" fillId="5" fontId="13" numFmtId="164" xfId="0" applyAlignment="1" applyBorder="1" applyFont="1" applyNumberFormat="1">
      <alignment shrinkToFit="0" vertical="top" wrapText="1"/>
    </xf>
    <xf borderId="5" fillId="10" fontId="12" numFmtId="165" xfId="0" applyAlignment="1" applyBorder="1" applyFont="1" applyNumberFormat="1">
      <alignment horizontal="center" shrinkToFit="0" vertical="top" wrapText="1"/>
    </xf>
    <xf borderId="6" fillId="4" fontId="12" numFmtId="165" xfId="0" applyAlignment="1" applyBorder="1" applyFont="1" applyNumberFormat="1">
      <alignment shrinkToFit="0" vertical="top" wrapText="1"/>
    </xf>
    <xf borderId="5" fillId="10" fontId="14" numFmtId="164" xfId="0" applyAlignment="1" applyBorder="1" applyFont="1" applyNumberFormat="1">
      <alignment horizontal="center" shrinkToFit="0" vertical="top" wrapText="1"/>
    </xf>
    <xf borderId="6" fillId="4" fontId="12" numFmtId="164" xfId="0" applyAlignment="1" applyBorder="1" applyFont="1" applyNumberFormat="1">
      <alignment shrinkToFit="0" vertical="top" wrapText="1"/>
    </xf>
    <xf borderId="5" fillId="10" fontId="12" numFmtId="0" xfId="0" applyAlignment="1" applyBorder="1" applyFont="1">
      <alignment shrinkToFit="0" vertical="top" wrapText="1"/>
    </xf>
    <xf borderId="5" fillId="10" fontId="15" numFmtId="0" xfId="0" applyAlignment="1" applyBorder="1" applyFont="1">
      <alignment shrinkToFit="0" vertical="top" wrapText="1"/>
    </xf>
    <xf borderId="0" fillId="10" fontId="16" numFmtId="0" xfId="0" applyFont="1"/>
    <xf borderId="6" fillId="10" fontId="12" numFmtId="0" xfId="0" applyAlignment="1" applyBorder="1" applyFont="1">
      <alignment horizontal="center" shrinkToFit="0" vertical="top" wrapText="1"/>
    </xf>
    <xf borderId="6" fillId="10" fontId="13" numFmtId="164" xfId="0" applyAlignment="1" applyBorder="1" applyFont="1" applyNumberFormat="1">
      <alignment horizontal="center" shrinkToFit="0" vertical="top" wrapText="1"/>
    </xf>
    <xf borderId="6" fillId="10" fontId="12" numFmtId="165" xfId="0" applyAlignment="1" applyBorder="1" applyFont="1" applyNumberFormat="1">
      <alignment horizontal="center" shrinkToFit="0" vertical="top" wrapText="1"/>
    </xf>
    <xf borderId="6" fillId="10" fontId="14" numFmtId="164" xfId="0" applyAlignment="1" applyBorder="1" applyFont="1" applyNumberFormat="1">
      <alignment horizontal="center" shrinkToFit="0" vertical="top" wrapText="1"/>
    </xf>
    <xf borderId="6" fillId="10" fontId="12" numFmtId="0" xfId="0" applyAlignment="1" applyBorder="1" applyFont="1">
      <alignment shrinkToFit="0" vertical="top" wrapText="1"/>
    </xf>
    <xf borderId="6" fillId="10" fontId="17" numFmtId="0" xfId="0" applyAlignment="1" applyBorder="1" applyFont="1">
      <alignment shrinkToFit="0" vertical="top" wrapText="1"/>
    </xf>
    <xf borderId="5" fillId="9" fontId="12" numFmtId="164" xfId="0" applyAlignment="1" applyBorder="1" applyFont="1" applyNumberFormat="1">
      <alignment shrinkToFit="0" vertical="top" wrapText="1"/>
    </xf>
    <xf borderId="6" fillId="9" fontId="12" numFmtId="164" xfId="0" applyAlignment="1" applyBorder="1" applyFont="1" applyNumberFormat="1">
      <alignment shrinkToFit="0" vertical="top" wrapText="1"/>
    </xf>
    <xf borderId="6" fillId="4" fontId="12" numFmtId="0" xfId="0" applyAlignment="1" applyBorder="1" applyFont="1">
      <alignment horizontal="center" shrinkToFit="0" vertical="top" wrapText="1"/>
    </xf>
    <xf borderId="6" fillId="5" fontId="13" numFmtId="164" xfId="0" applyAlignment="1" applyBorder="1" applyFont="1" applyNumberFormat="1">
      <alignment horizontal="center" shrinkToFit="0" vertical="top" wrapText="1"/>
    </xf>
    <xf borderId="6" fillId="4" fontId="12" numFmtId="165" xfId="0" applyAlignment="1" applyBorder="1" applyFont="1" applyNumberFormat="1">
      <alignment horizontal="center" shrinkToFit="0" vertical="top" wrapText="1"/>
    </xf>
    <xf borderId="6" fillId="9" fontId="14" numFmtId="164" xfId="0" applyAlignment="1" applyBorder="1" applyFont="1" applyNumberFormat="1">
      <alignment horizontal="center" shrinkToFit="0" vertical="top" wrapText="1"/>
    </xf>
    <xf borderId="6" fillId="4" fontId="18" numFmtId="0" xfId="0" applyAlignment="1" applyBorder="1" applyFont="1">
      <alignment shrinkToFit="0" vertical="top" wrapText="1"/>
    </xf>
    <xf borderId="10" fillId="4" fontId="12" numFmtId="0" xfId="0" applyAlignment="1" applyBorder="1" applyFont="1">
      <alignment shrinkToFit="0" vertical="top" wrapText="1"/>
    </xf>
    <xf borderId="10" fillId="5" fontId="13" numFmtId="164" xfId="0" applyAlignment="1" applyBorder="1" applyFont="1" applyNumberFormat="1">
      <alignment shrinkToFit="0" vertical="top" wrapText="1"/>
    </xf>
    <xf borderId="10" fillId="4" fontId="12" numFmtId="165" xfId="0" applyAlignment="1" applyBorder="1" applyFont="1" applyNumberFormat="1">
      <alignment shrinkToFit="0" vertical="top" wrapText="1"/>
    </xf>
    <xf borderId="10" fillId="4" fontId="12" numFmtId="164" xfId="0" applyAlignment="1" applyBorder="1" applyFont="1" applyNumberFormat="1">
      <alignment shrinkToFit="0" vertical="top" wrapText="1"/>
    </xf>
    <xf borderId="10" fillId="9" fontId="12" numFmtId="164" xfId="0" applyAlignment="1" applyBorder="1" applyFont="1" applyNumberFormat="1">
      <alignment shrinkToFit="0" vertical="top" wrapText="1"/>
    </xf>
    <xf borderId="10" fillId="4" fontId="12" numFmtId="0" xfId="0" applyAlignment="1" applyBorder="1" applyFont="1">
      <alignment horizontal="center" shrinkToFit="0" vertical="top" wrapText="1"/>
    </xf>
    <xf borderId="10" fillId="5" fontId="13" numFmtId="164" xfId="0" applyAlignment="1" applyBorder="1" applyFont="1" applyNumberFormat="1">
      <alignment horizontal="center" shrinkToFit="0" vertical="top" wrapText="1"/>
    </xf>
    <xf borderId="10" fillId="4" fontId="12" numFmtId="165" xfId="0" applyAlignment="1" applyBorder="1" applyFont="1" applyNumberFormat="1">
      <alignment horizontal="center" shrinkToFit="0" vertical="top" wrapText="1"/>
    </xf>
    <xf borderId="10" fillId="9" fontId="14" numFmtId="164" xfId="0" applyAlignment="1" applyBorder="1" applyFont="1" applyNumberFormat="1">
      <alignment horizontal="center" shrinkToFit="0" vertical="top" wrapText="1"/>
    </xf>
    <xf borderId="10" fillId="4" fontId="19" numFmtId="0" xfId="0" applyAlignment="1" applyBorder="1" applyFont="1">
      <alignment shrinkToFit="0" vertical="top" wrapText="1"/>
    </xf>
  </cellXfs>
  <cellStyles count="1">
    <cellStyle xfId="0" name="Normal" builtinId="0"/>
  </cellStyles>
  <dxfs count="12">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74E13"/>
      </font>
      <fill>
        <patternFill patternType="solid">
          <fgColor rgb="FFD9EAD3"/>
          <bgColor rgb="FFD9EAD3"/>
        </patternFill>
      </fill>
      <border/>
    </dxf>
    <dxf>
      <font>
        <color rgb="FF7F6000"/>
      </font>
      <fill>
        <patternFill patternType="solid">
          <fgColor rgb="FFFFF2CC"/>
          <bgColor rgb="FFFFF2CC"/>
        </patternFill>
      </fill>
      <border/>
    </dxf>
    <dxf>
      <font>
        <b/>
        <color rgb="FF990000"/>
      </font>
      <fill>
        <patternFill patternType="solid">
          <fgColor rgb="FFF4CCCC"/>
          <bgColor rgb="FFF4CCCC"/>
        </patternFill>
      </fill>
      <border/>
    </dxf>
    <dxf>
      <font/>
      <fill>
        <patternFill patternType="none"/>
      </fill>
      <border>
        <left style="thick">
          <color rgb="FF990000"/>
        </left>
      </border>
    </dxf>
    <dxf>
      <font>
        <b/>
        <color rgb="FFC13584"/>
      </font>
      <fill>
        <patternFill patternType="none"/>
      </fill>
      <border/>
    </dxf>
    <dxf>
      <font>
        <b/>
        <color rgb="FF1877F2"/>
      </font>
      <fill>
        <patternFill patternType="none"/>
      </fill>
      <border/>
    </dxf>
    <dxf>
      <font>
        <b/>
        <color rgb="FF151515"/>
      </font>
      <fill>
        <patternFill patternType="none"/>
      </fill>
      <border/>
    </dxf>
  </dxfs>
  <tableStyles count="4">
    <tableStyle count="4" pivot="0" name="SESSIONI-style">
      <tableStyleElement dxfId="1" type="headerRow"/>
      <tableStyleElement dxfId="2" type="firstRowStripe"/>
      <tableStyleElement dxfId="3" type="secondRowStripe"/>
      <tableStyleElement dxfId="4" size="0" type="wholeTable"/>
    </tableStyle>
    <tableStyle count="4" pivot="0" name="CALENDARIO-style">
      <tableStyleElement dxfId="1" type="headerRow"/>
      <tableStyleElement dxfId="2" type="firstRowStripe"/>
      <tableStyleElement dxfId="3" type="secondRowStripe"/>
      <tableStyleElement dxfId="4" size="0" type="wholeTable"/>
    </tableStyle>
    <tableStyle count="4" pivot="0" name="TESTI-style">
      <tableStyleElement dxfId="1" type="headerRow"/>
      <tableStyleElement dxfId="2" type="firstRowStripe"/>
      <tableStyleElement dxfId="3" type="secondRowStripe"/>
      <tableStyleElement dxfId="4" size="0" type="wholeTable"/>
    </tableStyle>
    <tableStyle count="4" pivot="0" name="CAMPAGNE-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rnaldo Di Fonso" id="{d8f1a312-c1c2-4615-917b-aaf65ef7138b}" providerId="google-sheets"/>
</x18tc:personList>
</file>

<file path=xl/tables/table1.xml><?xml version="1.0" encoding="utf-8"?>
<table xmlns="http://schemas.openxmlformats.org/spreadsheetml/2006/main" ref="A1:K28" displayName="SessionsTable" name="SessionsTable" id="1">
  <tableColumns count="11">
    <tableColumn name="Sessione" id="1"/>
    <tableColumn name="Data in cui devi farlo" id="2"/>
    <tableColumn name="Ora lavoro" id="3"/>
    <tableColumn name="Piattaforma / strumento" id="4"/>
    <tableColumn name="Contenuti dal" id="5"/>
    <tableColumn name="Contenuti fino al" id="6"/>
    <tableColumn name="Cosa programmare" id="7"/>
    <tableColumn name="Numero azioni" id="8"/>
    <tableColumn name="Procedura" id="9"/>
    <tableColumn name="Stato" id="10"/>
    <tableColumn name="Note" id="11"/>
  </tableColumns>
  <tableStyleInfo name="SESSIONI-style" showColumnStripes="0" showFirstColumn="1" showLastColumn="1" showRowStripes="1"/>
</table>
</file>

<file path=xl/tables/table2.xml><?xml version="1.0" encoding="utf-8"?>
<table xmlns="http://schemas.openxmlformats.org/spreadsheetml/2006/main" ref="A1:V239" displayName="CalendarTable" name="CalendarTable" id="2">
  <tableColumns count="22">
    <tableColumn name="Task" id="1"/>
    <tableColumn name="Settimana" id="2"/>
    <tableColumn name="Data in cui devi farlo" id="3"/>
    <tableColumn name="Ora lavoro" id="4"/>
    <tableColumn name="Data pubblicazione" id="5"/>
    <tableColumn name="Giorno pubblicazione" id="6"/>
    <tableColumn name="Ora pubblicazione" id="7"/>
    <tableColumn name="Piattaforma" id="8"/>
    <tableColumn name="Formato" id="9"/>
    <tableColumn name="Libro" id="10"/>
    <tableColumn name="Contenuto" id="11"/>
    <tableColumn name="Titolo" id="12"/>
    <tableColumn name="Cosa devi fare" id="13"/>
    <tableColumn name="File principale" id="14"/>
    <tableColumn name="Copertina / file aggiuntivo" id="15"/>
    <tableColumn name="Caption / testo da copiare" id="16"/>
    <tableColumn name="Link" id="17"/>
    <tableColumn name="Strumento" id="18"/>
    <tableColumn name="Programmazione" id="19"/>
    <tableColumn name="Stato" id="20"/>
    <tableColumn name="Controlli e note" id="21"/>
    <tableColumn name="Scaduto?" id="22"/>
  </tableColumns>
  <tableStyleInfo name="CALENDARIO-style" showColumnStripes="0" showFirstColumn="1" showLastColumn="1" showRowStripes="1"/>
</table>
</file>

<file path=xl/tables/table3.xml><?xml version="1.0" encoding="utf-8"?>
<table xmlns="http://schemas.openxmlformats.org/spreadsheetml/2006/main" ref="A1:N35" displayName="TextsTable" name="TextsTable" id="3">
  <tableColumns count="14">
    <tableColumn name="Chiave" id="1"/>
    <tableColumn name="Libro" id="2"/>
    <tableColumn name="Contenuto" id="3"/>
    <tableColumn name="Titolo" id="4"/>
    <tableColumn name="Caption Instagram" id="5"/>
    <tableColumn name="Caption Facebook" id="6"/>
    <tableColumn name="Caption TikTok" id="7"/>
    <tableColumn name="Link Storia Instagram" id="8"/>
    <tableColumn name="Link Storia Facebook" id="9"/>
    <tableColumn name="Pagina libro" id="10"/>
    <tableColumn name="Amazon cartaceo" id="11"/>
    <tableColumn name="Amazon Kindle" id="12"/>
    <tableColumn name="File caption originale" id="13"/>
    <tableColumn name="CTA Storia" id="14"/>
  </tableColumns>
  <tableStyleInfo name="TESTI-style" showColumnStripes="0" showFirstColumn="1" showLastColumn="1" showRowStripes="1"/>
</table>
</file>

<file path=xl/tables/table4.xml><?xml version="1.0" encoding="utf-8"?>
<table xmlns="http://schemas.openxmlformats.org/spreadsheetml/2006/main" ref="A1:T35" displayName="CampaignsTable" name="CampaignsTable" id="4">
  <tableColumns count="20">
    <tableColumn name="N." id="1"/>
    <tableColumn name="Settimana" id="2"/>
    <tableColumn name="Slot" id="3"/>
    <tableColumn name="Blocco" id="4"/>
    <tableColumn name="Offset Reel" id="5"/>
    <tableColumn name="Data lavoro Meta/Instagram" id="6"/>
    <tableColumn name="Data lavoro TikTok" id="7"/>
    <tableColumn name="Data Reel" id="8"/>
    <tableColumn name="Data Storia" id="9"/>
    <tableColumn name="Data Carosello" id="10"/>
    <tableColumn name="Libro" id="11"/>
    <tableColumn name="Contenuto" id="12"/>
    <tableColumn name="Titolo" id="13"/>
    <tableColumn name="Pacchetto ZIP" id="14"/>
    <tableColumn name="Video" id="15"/>
    <tableColumn name="Copertina" id="16"/>
    <tableColumn name="Storia" id="17"/>
    <tableColumn name="Caroselli 01–03" id="18"/>
    <tableColumn name="Caption" id="19"/>
    <tableColumn name="Pagina libro" id="20"/>
  </tableColumns>
  <tableStyleInfo name="CAMPAGN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8" dT="2026-07-29T12:28:52.00" personId="{d8f1a312-c1c2-4615-917b-aaf65ef7138b}" id="{83aaafc2-414c-41ee-b7c9-4c8e3e3dafb3}" done="0">
    <x18tc:text xml:space="preserve">Formula automatica: usa la data bloccata quando presente; altrimenti sceglie la data più tarda fra la data minima e il prossimo martedì utile, lasciando i giorni di preparazione indicati.</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4.0"/>
    <col customWidth="1" min="2" max="2" width="20.0"/>
    <col customWidth="1" min="3" max="3" width="31.0"/>
    <col customWidth="1" min="4" max="4" width="23.0"/>
    <col customWidth="1" min="5" max="5" width="5.0"/>
    <col customWidth="1" min="6" max="6" width="13.0"/>
    <col customWidth="1" min="7" max="7" width="17.0"/>
    <col customWidth="1" min="8" max="8" width="34.0"/>
    <col customWidth="1" min="9" max="26" width="8.63"/>
  </cols>
  <sheetData>
    <row r="1" ht="27.75" customHeight="1">
      <c r="A1" s="1" t="s">
        <v>1</v>
      </c>
    </row>
    <row r="2" ht="27.75" customHeight="1"/>
    <row r="3">
      <c r="A3" s="2" t="s">
        <v>3</v>
      </c>
    </row>
    <row r="4">
      <c r="A4" s="3"/>
      <c r="B4" s="3"/>
      <c r="C4" s="3"/>
      <c r="D4" s="3"/>
      <c r="E4" s="3"/>
      <c r="F4" s="3"/>
      <c r="G4" s="3"/>
      <c r="H4" s="3"/>
    </row>
    <row r="5">
      <c r="A5" s="6" t="s">
        <v>5</v>
      </c>
      <c r="B5" s="8"/>
      <c r="C5" s="6" t="s">
        <v>8</v>
      </c>
      <c r="D5" s="8"/>
      <c r="E5" s="6" t="s">
        <v>9</v>
      </c>
      <c r="F5" s="8"/>
      <c r="G5" s="6" t="s">
        <v>10</v>
      </c>
      <c r="H5" s="8"/>
    </row>
    <row r="6">
      <c r="A6" s="16">
        <f>COUNTA(CALENDARIO!$A$2:$A$239)</f>
        <v>238</v>
      </c>
      <c r="B6" s="17"/>
      <c r="C6" s="18">
        <f>CONFIG!$B$8</f>
        <v>46241</v>
      </c>
      <c r="D6" s="17"/>
      <c r="E6" s="18">
        <f>MAX(CALENDARIO!$E$2:$E$239)</f>
        <v>46358</v>
      </c>
      <c r="F6" s="17"/>
      <c r="G6" s="16">
        <f>COUNTA(CAMPAGNE!$A$2:$A$35)</f>
        <v>34</v>
      </c>
      <c r="H6" s="17"/>
    </row>
    <row r="7">
      <c r="A7" s="3"/>
      <c r="B7" s="3"/>
      <c r="C7" s="3"/>
      <c r="D7" s="3"/>
      <c r="E7" s="3"/>
      <c r="F7" s="3"/>
      <c r="G7" s="3"/>
      <c r="H7" s="3"/>
    </row>
    <row r="8">
      <c r="A8" s="7" t="s">
        <v>21</v>
      </c>
    </row>
    <row r="9" ht="39.75" customHeight="1">
      <c r="A9" s="20" t="s">
        <v>11</v>
      </c>
      <c r="B9" s="21" t="s">
        <v>24</v>
      </c>
      <c r="C9" s="11" t="s">
        <v>25</v>
      </c>
      <c r="D9" s="12"/>
      <c r="E9" s="12"/>
      <c r="F9" s="12"/>
      <c r="G9" s="12"/>
      <c r="H9" s="12"/>
    </row>
    <row r="10" ht="39.75" customHeight="1">
      <c r="A10" s="23" t="s">
        <v>14</v>
      </c>
      <c r="B10" s="25" t="s">
        <v>30</v>
      </c>
      <c r="C10" s="14" t="s">
        <v>32</v>
      </c>
      <c r="D10" s="15"/>
      <c r="E10" s="15"/>
      <c r="F10" s="15"/>
      <c r="G10" s="15"/>
      <c r="H10" s="15"/>
    </row>
    <row r="11" ht="39.75" customHeight="1">
      <c r="A11" s="23" t="s">
        <v>17</v>
      </c>
      <c r="B11" s="25" t="s">
        <v>34</v>
      </c>
      <c r="C11" s="14" t="s">
        <v>35</v>
      </c>
      <c r="D11" s="15"/>
      <c r="E11" s="15"/>
      <c r="F11" s="15"/>
      <c r="G11" s="15"/>
      <c r="H11" s="15"/>
    </row>
    <row r="12" ht="39.75" customHeight="1">
      <c r="A12" s="23" t="s">
        <v>19</v>
      </c>
      <c r="B12" s="25" t="s">
        <v>39</v>
      </c>
      <c r="C12" s="14" t="s">
        <v>40</v>
      </c>
      <c r="D12" s="15"/>
      <c r="E12" s="15"/>
      <c r="F12" s="15"/>
      <c r="G12" s="15"/>
      <c r="H12" s="15"/>
    </row>
    <row r="13" ht="39.75" customHeight="1">
      <c r="A13" s="23" t="s">
        <v>22</v>
      </c>
      <c r="B13" s="25" t="s">
        <v>42</v>
      </c>
      <c r="C13" s="14" t="s">
        <v>43</v>
      </c>
      <c r="D13" s="15"/>
      <c r="E13" s="15"/>
      <c r="F13" s="15"/>
      <c r="G13" s="15"/>
      <c r="H13" s="15"/>
    </row>
    <row r="14">
      <c r="A14" s="3"/>
      <c r="B14" s="3"/>
      <c r="C14" s="3"/>
      <c r="D14" s="3"/>
      <c r="E14" s="3"/>
      <c r="F14" s="3"/>
      <c r="G14" s="3"/>
      <c r="H14" s="3"/>
    </row>
    <row r="15">
      <c r="A15" s="7" t="s">
        <v>47</v>
      </c>
    </row>
    <row r="16">
      <c r="A16" s="30" t="s">
        <v>49</v>
      </c>
      <c r="B16" s="30" t="s">
        <v>50</v>
      </c>
      <c r="C16" s="30" t="s">
        <v>51</v>
      </c>
      <c r="D16" s="30" t="s">
        <v>53</v>
      </c>
      <c r="E16" s="3"/>
      <c r="F16" s="31" t="s">
        <v>54</v>
      </c>
    </row>
    <row r="17" ht="42.0" customHeight="1">
      <c r="A17" s="32" t="s">
        <v>55</v>
      </c>
      <c r="B17" s="33">
        <v>0.8333333333333334</v>
      </c>
      <c r="C17" s="32" t="s">
        <v>58</v>
      </c>
      <c r="D17" s="32" t="s">
        <v>60</v>
      </c>
      <c r="E17" s="3"/>
      <c r="F17" s="22" t="s">
        <v>61</v>
      </c>
      <c r="G17" s="22" t="s">
        <v>62</v>
      </c>
      <c r="H17" s="34" t="s">
        <v>64</v>
      </c>
    </row>
    <row r="18" ht="42.0" customHeight="1">
      <c r="A18" s="32" t="s">
        <v>65</v>
      </c>
      <c r="B18" s="33">
        <v>0.5</v>
      </c>
      <c r="C18" s="32" t="s">
        <v>66</v>
      </c>
      <c r="D18" s="32" t="s">
        <v>68</v>
      </c>
      <c r="E18" s="3"/>
      <c r="F18" s="27" t="s">
        <v>70</v>
      </c>
      <c r="G18" s="27" t="s">
        <v>72</v>
      </c>
      <c r="H18" s="35" t="s">
        <v>73</v>
      </c>
    </row>
    <row r="19" ht="42.0" customHeight="1">
      <c r="A19" s="32" t="s">
        <v>76</v>
      </c>
      <c r="B19" s="33">
        <v>0.8333333333333334</v>
      </c>
      <c r="C19" s="32" t="s">
        <v>77</v>
      </c>
      <c r="D19" s="32" t="s">
        <v>68</v>
      </c>
      <c r="E19" s="3"/>
      <c r="F19" s="27" t="s">
        <v>79</v>
      </c>
      <c r="G19" s="27" t="s">
        <v>80</v>
      </c>
      <c r="H19" s="35" t="s">
        <v>81</v>
      </c>
    </row>
    <row r="20" ht="42.0" customHeight="1">
      <c r="A20" s="32" t="s">
        <v>83</v>
      </c>
      <c r="B20" s="33">
        <v>0.8333333333333334</v>
      </c>
      <c r="C20" s="32" t="s">
        <v>84</v>
      </c>
      <c r="D20" s="32" t="s">
        <v>60</v>
      </c>
      <c r="E20" s="3"/>
      <c r="F20" s="27" t="s">
        <v>86</v>
      </c>
      <c r="G20" s="27" t="s">
        <v>87</v>
      </c>
      <c r="H20" s="35" t="s">
        <v>88</v>
      </c>
    </row>
    <row r="21" ht="42.0" customHeight="1">
      <c r="A21" s="32" t="s">
        <v>89</v>
      </c>
      <c r="B21" s="33">
        <v>0.5</v>
      </c>
      <c r="C21" s="32" t="s">
        <v>90</v>
      </c>
      <c r="D21" s="32" t="s">
        <v>68</v>
      </c>
      <c r="E21" s="3"/>
      <c r="F21" s="27" t="s">
        <v>92</v>
      </c>
      <c r="G21" s="27" t="s">
        <v>93</v>
      </c>
      <c r="H21" s="35" t="s">
        <v>95</v>
      </c>
    </row>
    <row r="22" ht="42.0" customHeight="1">
      <c r="A22" s="32" t="s">
        <v>96</v>
      </c>
      <c r="B22" s="33">
        <v>0.4583333333333333</v>
      </c>
      <c r="C22" s="32" t="s">
        <v>98</v>
      </c>
      <c r="D22" s="32" t="s">
        <v>68</v>
      </c>
      <c r="E22" s="3"/>
      <c r="F22" s="27" t="s">
        <v>99</v>
      </c>
      <c r="G22" s="27" t="s">
        <v>102</v>
      </c>
      <c r="H22" s="35" t="s">
        <v>103</v>
      </c>
    </row>
    <row r="23" ht="15.75" customHeight="1">
      <c r="A23" s="3"/>
      <c r="B23" s="3"/>
      <c r="C23" s="3"/>
      <c r="D23" s="3"/>
      <c r="E23" s="3"/>
      <c r="F23" s="3"/>
      <c r="G23" s="3"/>
      <c r="H23" s="3"/>
    </row>
    <row r="24" ht="15.75" customHeight="1">
      <c r="A24" s="7" t="s">
        <v>106</v>
      </c>
    </row>
    <row r="25" ht="30.75" customHeight="1">
      <c r="A25" s="22" t="s">
        <v>107</v>
      </c>
      <c r="B25" s="34" t="s">
        <v>108</v>
      </c>
      <c r="C25" s="12"/>
      <c r="D25" s="12"/>
      <c r="E25" s="12"/>
      <c r="F25" s="12"/>
      <c r="G25" s="12"/>
      <c r="H25" s="12"/>
    </row>
    <row r="26" ht="30.75" customHeight="1">
      <c r="A26" s="27" t="s">
        <v>111</v>
      </c>
      <c r="B26" s="35" t="s">
        <v>112</v>
      </c>
      <c r="C26" s="15"/>
      <c r="D26" s="15"/>
      <c r="E26" s="15"/>
      <c r="F26" s="15"/>
      <c r="G26" s="15"/>
      <c r="H26" s="15"/>
    </row>
    <row r="27" ht="30.75" customHeight="1">
      <c r="A27" s="27" t="s">
        <v>114</v>
      </c>
      <c r="B27" s="35" t="s">
        <v>115</v>
      </c>
      <c r="C27" s="15"/>
      <c r="D27" s="15"/>
      <c r="E27" s="15"/>
      <c r="F27" s="15"/>
      <c r="G27" s="15"/>
      <c r="H27" s="15"/>
    </row>
    <row r="28" ht="30.75" customHeight="1">
      <c r="A28" s="27" t="s">
        <v>119</v>
      </c>
      <c r="B28" s="35" t="s">
        <v>120</v>
      </c>
      <c r="C28" s="15"/>
      <c r="D28" s="15"/>
      <c r="E28" s="15"/>
      <c r="F28" s="15"/>
      <c r="G28" s="15"/>
      <c r="H28" s="15"/>
    </row>
    <row r="29" ht="30.75" customHeight="1">
      <c r="A29" s="27" t="s">
        <v>121</v>
      </c>
      <c r="B29" s="35" t="s">
        <v>122</v>
      </c>
      <c r="C29" s="15"/>
      <c r="D29" s="15"/>
      <c r="E29" s="15"/>
      <c r="F29" s="15"/>
      <c r="G29" s="15"/>
      <c r="H29" s="15"/>
    </row>
    <row r="30" ht="15.75" customHeight="1">
      <c r="A30" s="3"/>
      <c r="B30" s="3"/>
      <c r="C30" s="3"/>
      <c r="D30" s="3"/>
      <c r="E30" s="3"/>
      <c r="F30" s="3"/>
      <c r="G30" s="3"/>
      <c r="H30" s="3"/>
    </row>
    <row r="31" ht="15.75" customHeight="1">
      <c r="A31" s="41" t="s">
        <v>125</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C6:D6"/>
    <mergeCell ref="E6:F6"/>
    <mergeCell ref="A1:H2"/>
    <mergeCell ref="A3:H3"/>
    <mergeCell ref="A5:B5"/>
    <mergeCell ref="C5:D5"/>
    <mergeCell ref="E5:F5"/>
    <mergeCell ref="G5:H5"/>
    <mergeCell ref="A6:B6"/>
    <mergeCell ref="G6:H6"/>
    <mergeCell ref="A8:H8"/>
    <mergeCell ref="C9:H9"/>
    <mergeCell ref="C10:H10"/>
    <mergeCell ref="C11:H11"/>
    <mergeCell ref="C12:H12"/>
    <mergeCell ref="C13:H13"/>
    <mergeCell ref="B29:H29"/>
    <mergeCell ref="A31:H32"/>
    <mergeCell ref="A15:H15"/>
    <mergeCell ref="F16:H16"/>
    <mergeCell ref="A24:H24"/>
    <mergeCell ref="B25:H25"/>
    <mergeCell ref="B26:H26"/>
    <mergeCell ref="B27:H27"/>
    <mergeCell ref="B28:H28"/>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2.0"/>
    <col customWidth="1" min="2" max="2" width="18.0"/>
    <col customWidth="1" min="3" max="3" width="4.0"/>
    <col customWidth="1" min="4" max="4" width="7.0"/>
    <col customWidth="1" min="5" max="8" width="23.0"/>
    <col customWidth="1" min="9" max="26" width="8.63"/>
  </cols>
  <sheetData>
    <row r="1" ht="27.75" customHeight="1">
      <c r="A1" s="1" t="s">
        <v>0</v>
      </c>
    </row>
    <row r="2" ht="27.75" customHeight="1"/>
    <row r="3">
      <c r="A3" s="2" t="s">
        <v>2</v>
      </c>
    </row>
    <row r="4">
      <c r="A4" s="3"/>
      <c r="B4" s="3"/>
      <c r="C4" s="3"/>
      <c r="D4" s="3"/>
      <c r="E4" s="3"/>
      <c r="F4" s="3"/>
      <c r="G4" s="3"/>
      <c r="H4" s="3"/>
    </row>
    <row r="5" ht="39.75" customHeight="1">
      <c r="A5" s="4" t="s">
        <v>4</v>
      </c>
      <c r="B5" s="5">
        <v>46238.0</v>
      </c>
      <c r="C5" s="3"/>
      <c r="D5" s="7" t="s">
        <v>6</v>
      </c>
    </row>
    <row r="6" ht="39.75" customHeight="1">
      <c r="A6" s="4" t="s">
        <v>7</v>
      </c>
      <c r="B6" s="9">
        <v>2.0</v>
      </c>
      <c r="C6" s="3"/>
      <c r="D6" s="10" t="s">
        <v>11</v>
      </c>
      <c r="E6" s="11" t="s">
        <v>12</v>
      </c>
      <c r="F6" s="12"/>
      <c r="G6" s="12"/>
      <c r="H6" s="12"/>
    </row>
    <row r="7" ht="39.75" customHeight="1">
      <c r="A7" s="4" t="s">
        <v>13</v>
      </c>
      <c r="B7" s="13">
        <v>46241.0</v>
      </c>
      <c r="C7" s="3"/>
      <c r="D7" s="10" t="s">
        <v>14</v>
      </c>
      <c r="E7" s="14" t="s">
        <v>15</v>
      </c>
      <c r="F7" s="15"/>
      <c r="G7" s="15"/>
      <c r="H7" s="15"/>
    </row>
    <row r="8" ht="39.75" customHeight="1">
      <c r="A8" s="4" t="s">
        <v>16</v>
      </c>
      <c r="B8" s="19">
        <f>IF(B7&lt;&gt;"",B7,MAX(B5,TODAY()+B6+MOD(2-WEEKDAY(TODAY()+B6,2),7)))</f>
        <v>46241</v>
      </c>
      <c r="C8" s="3"/>
      <c r="D8" s="10" t="s">
        <v>17</v>
      </c>
      <c r="E8" s="14" t="s">
        <v>18</v>
      </c>
      <c r="F8" s="15"/>
      <c r="G8" s="15"/>
      <c r="H8" s="15"/>
    </row>
    <row r="9" ht="39.75" customHeight="1">
      <c r="A9" s="3"/>
      <c r="B9" s="3"/>
      <c r="C9" s="3"/>
      <c r="D9" s="10" t="s">
        <v>19</v>
      </c>
      <c r="E9" s="14" t="s">
        <v>20</v>
      </c>
      <c r="F9" s="15"/>
      <c r="G9" s="15"/>
      <c r="H9" s="15"/>
    </row>
    <row r="10" ht="39.75" customHeight="1">
      <c r="A10" s="3"/>
      <c r="B10" s="3"/>
      <c r="C10" s="3"/>
      <c r="D10" s="10" t="s">
        <v>22</v>
      </c>
      <c r="E10" s="14" t="s">
        <v>23</v>
      </c>
      <c r="F10" s="15"/>
      <c r="G10" s="15"/>
      <c r="H10" s="15"/>
    </row>
    <row r="11">
      <c r="A11" s="3"/>
      <c r="B11" s="3"/>
      <c r="C11" s="3"/>
      <c r="D11" s="3"/>
      <c r="E11" s="3"/>
      <c r="F11" s="3"/>
      <c r="G11" s="3"/>
      <c r="H11" s="3"/>
    </row>
    <row r="12">
      <c r="A12" s="7" t="s">
        <v>26</v>
      </c>
      <c r="C12" s="3"/>
      <c r="D12" s="7" t="s">
        <v>27</v>
      </c>
    </row>
    <row r="13" ht="37.5" customHeight="1">
      <c r="A13" s="22" t="s">
        <v>28</v>
      </c>
      <c r="B13" s="24">
        <v>8.0</v>
      </c>
      <c r="C13" s="3"/>
      <c r="D13" s="26" t="s">
        <v>31</v>
      </c>
    </row>
    <row r="14" ht="37.5" customHeight="1">
      <c r="A14" s="27" t="s">
        <v>33</v>
      </c>
      <c r="B14" s="28">
        <v>28.0</v>
      </c>
      <c r="C14" s="3"/>
    </row>
    <row r="15" ht="37.5" customHeight="1">
      <c r="A15" s="27" t="s">
        <v>36</v>
      </c>
      <c r="B15" s="28">
        <v>2.0</v>
      </c>
      <c r="C15" s="3"/>
    </row>
    <row r="16" ht="37.5" customHeight="1">
      <c r="A16" s="27" t="s">
        <v>37</v>
      </c>
      <c r="B16" s="28">
        <v>2.0</v>
      </c>
      <c r="C16" s="3"/>
    </row>
    <row r="17">
      <c r="A17" s="3"/>
      <c r="B17" s="3"/>
      <c r="C17" s="3"/>
      <c r="D17" s="3"/>
      <c r="E17" s="3"/>
      <c r="F17" s="3"/>
      <c r="G17" s="3"/>
      <c r="H17" s="3"/>
    </row>
    <row r="18">
      <c r="A18" s="3"/>
      <c r="B18" s="3"/>
      <c r="C18" s="3"/>
      <c r="D18" s="3"/>
      <c r="E18" s="3"/>
      <c r="F18" s="3"/>
      <c r="G18" s="3"/>
      <c r="H18"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E10:H10"/>
    <mergeCell ref="A12:B12"/>
    <mergeCell ref="D12:H12"/>
    <mergeCell ref="D13:H16"/>
    <mergeCell ref="A1:H2"/>
    <mergeCell ref="A3:H3"/>
    <mergeCell ref="D5:H5"/>
    <mergeCell ref="E6:H6"/>
    <mergeCell ref="E7:H7"/>
    <mergeCell ref="E8:H8"/>
    <mergeCell ref="E9:H9"/>
  </mergeCells>
  <dataValidations>
    <dataValidation type="decimal" allowBlank="1" sqref="B6">
      <formula1>0.0</formula1>
      <formula2>30.0</formula2>
    </dataValidation>
  </dataValidations>
  <printOptions/>
  <pageMargins bottom="0.75" footer="0.0" header="0.0" left="0.7" right="0.7" top="0.75"/>
  <pageSetup orientation="landscape"/>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16.0"/>
    <col customWidth="1" min="3" max="3" width="10.0"/>
    <col customWidth="1" min="4" max="4" width="27.0"/>
    <col customWidth="1" min="5" max="6" width="14.0"/>
    <col customWidth="1" min="7" max="7" width="48.0"/>
    <col customWidth="1" min="8" max="8" width="14.0"/>
    <col customWidth="1" min="9" max="9" width="52.0"/>
    <col customWidth="1" min="10" max="10" width="15.0"/>
    <col customWidth="1" min="11" max="11" width="38.0"/>
    <col customWidth="1" min="12" max="26" width="8.63"/>
  </cols>
  <sheetData>
    <row r="1">
      <c r="A1" s="29" t="s">
        <v>29</v>
      </c>
      <c r="B1" s="29" t="s">
        <v>38</v>
      </c>
      <c r="C1" s="29" t="s">
        <v>41</v>
      </c>
      <c r="D1" s="29" t="s">
        <v>44</v>
      </c>
      <c r="E1" s="29" t="s">
        <v>46</v>
      </c>
      <c r="F1" s="29" t="s">
        <v>48</v>
      </c>
      <c r="G1" s="29" t="s">
        <v>52</v>
      </c>
      <c r="H1" s="29" t="s">
        <v>56</v>
      </c>
      <c r="I1" s="29" t="s">
        <v>59</v>
      </c>
      <c r="J1" s="29" t="s">
        <v>63</v>
      </c>
      <c r="K1" s="29" t="s">
        <v>67</v>
      </c>
    </row>
    <row r="2" ht="61.5" customHeight="1">
      <c r="A2" s="36" t="s">
        <v>74</v>
      </c>
      <c r="B2" s="37">
        <f>CAMPAGNE!F2</f>
        <v>46239</v>
      </c>
      <c r="C2" s="38">
        <v>0.75</v>
      </c>
      <c r="D2" s="36" t="s">
        <v>101</v>
      </c>
      <c r="E2" s="39">
        <f>CAMPAGNE!H2</f>
        <v>46241</v>
      </c>
      <c r="F2" s="39">
        <f>CAMPAGNE!J9</f>
        <v>46267</v>
      </c>
      <c r="G2" s="36" t="s">
        <v>117</v>
      </c>
      <c r="H2" s="36">
        <v>24.0</v>
      </c>
      <c r="I2" s="36" t="s">
        <v>123</v>
      </c>
      <c r="J2" s="36" t="s">
        <v>124</v>
      </c>
      <c r="K2" s="36" t="s">
        <v>126</v>
      </c>
    </row>
    <row r="3" ht="61.5" customHeight="1">
      <c r="A3" s="42" t="s">
        <v>127</v>
      </c>
      <c r="B3" s="44">
        <f>CAMPAGNE!F2</f>
        <v>46239</v>
      </c>
      <c r="C3" s="46">
        <v>0.75</v>
      </c>
      <c r="D3" s="42" t="s">
        <v>128</v>
      </c>
      <c r="E3" s="48">
        <f>CAMPAGNE!H2</f>
        <v>46241</v>
      </c>
      <c r="F3" s="48">
        <f>CAMPAGNE!J9</f>
        <v>46267</v>
      </c>
      <c r="G3" s="42" t="s">
        <v>129</v>
      </c>
      <c r="H3" s="42">
        <v>16.0</v>
      </c>
      <c r="I3" s="42" t="s">
        <v>130</v>
      </c>
      <c r="J3" s="42" t="s">
        <v>124</v>
      </c>
      <c r="K3" s="42" t="s">
        <v>126</v>
      </c>
    </row>
    <row r="4" ht="61.5" customHeight="1">
      <c r="A4" s="42" t="s">
        <v>134</v>
      </c>
      <c r="B4" s="44">
        <f>CAMPAGNE!G2</f>
        <v>46239</v>
      </c>
      <c r="C4" s="46">
        <v>0.75</v>
      </c>
      <c r="D4" s="42" t="s">
        <v>138</v>
      </c>
      <c r="E4" s="48">
        <f>CAMPAGNE!H2</f>
        <v>46241</v>
      </c>
      <c r="F4" s="48">
        <f>CAMPAGNE!H3</f>
        <v>46244</v>
      </c>
      <c r="G4" s="42" t="s">
        <v>141</v>
      </c>
      <c r="H4" s="42">
        <v>2.0</v>
      </c>
      <c r="I4" s="42" t="s">
        <v>143</v>
      </c>
      <c r="J4" s="42" t="s">
        <v>124</v>
      </c>
      <c r="K4" s="42" t="s">
        <v>144</v>
      </c>
    </row>
    <row r="5" ht="61.5" customHeight="1">
      <c r="A5" s="42" t="s">
        <v>145</v>
      </c>
      <c r="B5" s="44">
        <f>CAMPAGNE!G4</f>
        <v>46246</v>
      </c>
      <c r="C5" s="46">
        <v>0.75</v>
      </c>
      <c r="D5" s="42" t="s">
        <v>138</v>
      </c>
      <c r="E5" s="48">
        <f>CAMPAGNE!H4</f>
        <v>46248</v>
      </c>
      <c r="F5" s="48">
        <f>CAMPAGNE!H5</f>
        <v>46251</v>
      </c>
      <c r="G5" s="42" t="s">
        <v>147</v>
      </c>
      <c r="H5" s="42">
        <v>2.0</v>
      </c>
      <c r="I5" s="42" t="s">
        <v>143</v>
      </c>
      <c r="J5" s="42" t="s">
        <v>124</v>
      </c>
      <c r="K5" s="42" t="s">
        <v>144</v>
      </c>
    </row>
    <row r="6" ht="61.5" customHeight="1">
      <c r="A6" s="42" t="s">
        <v>164</v>
      </c>
      <c r="B6" s="44">
        <f>CAMPAGNE!G6</f>
        <v>46253</v>
      </c>
      <c r="C6" s="46">
        <v>0.75</v>
      </c>
      <c r="D6" s="42" t="s">
        <v>138</v>
      </c>
      <c r="E6" s="48">
        <f>CAMPAGNE!H6</f>
        <v>46255</v>
      </c>
      <c r="F6" s="48">
        <f>CAMPAGNE!H7</f>
        <v>46258</v>
      </c>
      <c r="G6" s="42" t="s">
        <v>186</v>
      </c>
      <c r="H6" s="42">
        <v>2.0</v>
      </c>
      <c r="I6" s="42" t="s">
        <v>143</v>
      </c>
      <c r="J6" s="42" t="s">
        <v>124</v>
      </c>
      <c r="K6" s="42" t="s">
        <v>144</v>
      </c>
    </row>
    <row r="7" ht="61.5" customHeight="1">
      <c r="A7" s="42" t="s">
        <v>197</v>
      </c>
      <c r="B7" s="44">
        <f>CAMPAGNE!G8</f>
        <v>46260</v>
      </c>
      <c r="C7" s="46">
        <v>0.75</v>
      </c>
      <c r="D7" s="42" t="s">
        <v>138</v>
      </c>
      <c r="E7" s="48">
        <f>CAMPAGNE!H8</f>
        <v>46262</v>
      </c>
      <c r="F7" s="48">
        <f>CAMPAGNE!H9</f>
        <v>46265</v>
      </c>
      <c r="G7" s="42" t="s">
        <v>215</v>
      </c>
      <c r="H7" s="42">
        <v>2.0</v>
      </c>
      <c r="I7" s="42" t="s">
        <v>143</v>
      </c>
      <c r="J7" s="42" t="s">
        <v>124</v>
      </c>
      <c r="K7" s="42" t="s">
        <v>144</v>
      </c>
    </row>
    <row r="8" ht="61.5" customHeight="1">
      <c r="A8" s="42" t="s">
        <v>225</v>
      </c>
      <c r="B8" s="44">
        <f>CAMPAGNE!F10</f>
        <v>46267</v>
      </c>
      <c r="C8" s="46">
        <v>0.75</v>
      </c>
      <c r="D8" s="42" t="s">
        <v>101</v>
      </c>
      <c r="E8" s="48">
        <f>CAMPAGNE!H10</f>
        <v>46269</v>
      </c>
      <c r="F8" s="48">
        <f>CAMPAGNE!J17</f>
        <v>46295</v>
      </c>
      <c r="G8" s="42" t="s">
        <v>117</v>
      </c>
      <c r="H8" s="42">
        <v>24.0</v>
      </c>
      <c r="I8" s="42" t="s">
        <v>123</v>
      </c>
      <c r="J8" s="42" t="s">
        <v>124</v>
      </c>
      <c r="K8" s="42" t="s">
        <v>249</v>
      </c>
    </row>
    <row r="9" ht="61.5" customHeight="1">
      <c r="A9" s="42" t="s">
        <v>251</v>
      </c>
      <c r="B9" s="44">
        <f>CAMPAGNE!F10</f>
        <v>46267</v>
      </c>
      <c r="C9" s="46">
        <v>0.75</v>
      </c>
      <c r="D9" s="42" t="s">
        <v>128</v>
      </c>
      <c r="E9" s="48">
        <f>CAMPAGNE!H10</f>
        <v>46269</v>
      </c>
      <c r="F9" s="48">
        <f>CAMPAGNE!J17</f>
        <v>46295</v>
      </c>
      <c r="G9" s="42" t="s">
        <v>129</v>
      </c>
      <c r="H9" s="42">
        <v>16.0</v>
      </c>
      <c r="I9" s="42" t="s">
        <v>130</v>
      </c>
      <c r="J9" s="42" t="s">
        <v>124</v>
      </c>
      <c r="K9" s="42" t="s">
        <v>249</v>
      </c>
    </row>
    <row r="10" ht="61.5" customHeight="1">
      <c r="A10" s="42" t="s">
        <v>277</v>
      </c>
      <c r="B10" s="44">
        <f>CAMPAGNE!G10</f>
        <v>46267</v>
      </c>
      <c r="C10" s="46">
        <v>0.75</v>
      </c>
      <c r="D10" s="42" t="s">
        <v>138</v>
      </c>
      <c r="E10" s="48">
        <f>CAMPAGNE!H10</f>
        <v>46269</v>
      </c>
      <c r="F10" s="48">
        <f>CAMPAGNE!H11</f>
        <v>46272</v>
      </c>
      <c r="G10" s="42" t="s">
        <v>291</v>
      </c>
      <c r="H10" s="42">
        <v>2.0</v>
      </c>
      <c r="I10" s="42" t="s">
        <v>143</v>
      </c>
      <c r="J10" s="42" t="s">
        <v>124</v>
      </c>
      <c r="K10" s="42" t="s">
        <v>144</v>
      </c>
    </row>
    <row r="11" ht="61.5" customHeight="1">
      <c r="A11" s="42" t="s">
        <v>305</v>
      </c>
      <c r="B11" s="44">
        <f>CAMPAGNE!G12</f>
        <v>46274</v>
      </c>
      <c r="C11" s="46">
        <v>0.75</v>
      </c>
      <c r="D11" s="42" t="s">
        <v>138</v>
      </c>
      <c r="E11" s="48">
        <f>CAMPAGNE!H12</f>
        <v>46276</v>
      </c>
      <c r="F11" s="48">
        <f>CAMPAGNE!H13</f>
        <v>46279</v>
      </c>
      <c r="G11" s="42" t="s">
        <v>321</v>
      </c>
      <c r="H11" s="42">
        <v>2.0</v>
      </c>
      <c r="I11" s="42" t="s">
        <v>143</v>
      </c>
      <c r="J11" s="42" t="s">
        <v>124</v>
      </c>
      <c r="K11" s="42" t="s">
        <v>144</v>
      </c>
    </row>
    <row r="12" ht="61.5" customHeight="1">
      <c r="A12" s="42" t="s">
        <v>335</v>
      </c>
      <c r="B12" s="44">
        <f>CAMPAGNE!G14</f>
        <v>46281</v>
      </c>
      <c r="C12" s="46">
        <v>0.75</v>
      </c>
      <c r="D12" s="42" t="s">
        <v>138</v>
      </c>
      <c r="E12" s="48">
        <f>CAMPAGNE!H14</f>
        <v>46283</v>
      </c>
      <c r="F12" s="48">
        <f>CAMPAGNE!H15</f>
        <v>46286</v>
      </c>
      <c r="G12" s="42" t="s">
        <v>344</v>
      </c>
      <c r="H12" s="42">
        <v>2.0</v>
      </c>
      <c r="I12" s="42" t="s">
        <v>143</v>
      </c>
      <c r="J12" s="42" t="s">
        <v>124</v>
      </c>
      <c r="K12" s="42" t="s">
        <v>144</v>
      </c>
    </row>
    <row r="13" ht="61.5" customHeight="1">
      <c r="A13" s="42" t="s">
        <v>352</v>
      </c>
      <c r="B13" s="44">
        <f>CAMPAGNE!G16</f>
        <v>46288</v>
      </c>
      <c r="C13" s="46">
        <v>0.75</v>
      </c>
      <c r="D13" s="42" t="s">
        <v>138</v>
      </c>
      <c r="E13" s="48">
        <f>CAMPAGNE!H16</f>
        <v>46290</v>
      </c>
      <c r="F13" s="48">
        <f>CAMPAGNE!H17</f>
        <v>46293</v>
      </c>
      <c r="G13" s="42" t="s">
        <v>361</v>
      </c>
      <c r="H13" s="42">
        <v>2.0</v>
      </c>
      <c r="I13" s="42" t="s">
        <v>143</v>
      </c>
      <c r="J13" s="42" t="s">
        <v>124</v>
      </c>
      <c r="K13" s="42" t="s">
        <v>144</v>
      </c>
    </row>
    <row r="14" ht="61.5" customHeight="1">
      <c r="A14" s="42" t="s">
        <v>370</v>
      </c>
      <c r="B14" s="44">
        <f>CAMPAGNE!F18</f>
        <v>46295</v>
      </c>
      <c r="C14" s="46">
        <v>0.75</v>
      </c>
      <c r="D14" s="42" t="s">
        <v>101</v>
      </c>
      <c r="E14" s="48">
        <f>CAMPAGNE!H18</f>
        <v>46297</v>
      </c>
      <c r="F14" s="48">
        <f>CAMPAGNE!J25</f>
        <v>46323</v>
      </c>
      <c r="G14" s="42" t="s">
        <v>117</v>
      </c>
      <c r="H14" s="42">
        <v>24.0</v>
      </c>
      <c r="I14" s="42" t="s">
        <v>123</v>
      </c>
      <c r="J14" s="42" t="s">
        <v>124</v>
      </c>
      <c r="K14" s="42" t="s">
        <v>386</v>
      </c>
    </row>
    <row r="15" ht="61.5" customHeight="1">
      <c r="A15" s="42" t="s">
        <v>388</v>
      </c>
      <c r="B15" s="44">
        <f>CAMPAGNE!F18</f>
        <v>46295</v>
      </c>
      <c r="C15" s="46">
        <v>0.75</v>
      </c>
      <c r="D15" s="42" t="s">
        <v>128</v>
      </c>
      <c r="E15" s="48">
        <f>CAMPAGNE!H18</f>
        <v>46297</v>
      </c>
      <c r="F15" s="48">
        <f>CAMPAGNE!J25</f>
        <v>46323</v>
      </c>
      <c r="G15" s="42" t="s">
        <v>129</v>
      </c>
      <c r="H15" s="42">
        <v>16.0</v>
      </c>
      <c r="I15" s="42" t="s">
        <v>130</v>
      </c>
      <c r="J15" s="42" t="s">
        <v>124</v>
      </c>
      <c r="K15" s="42" t="s">
        <v>386</v>
      </c>
    </row>
    <row r="16" ht="61.5" customHeight="1">
      <c r="A16" s="42" t="s">
        <v>402</v>
      </c>
      <c r="B16" s="44">
        <f>CAMPAGNE!G18</f>
        <v>46295</v>
      </c>
      <c r="C16" s="46">
        <v>0.75</v>
      </c>
      <c r="D16" s="42" t="s">
        <v>138</v>
      </c>
      <c r="E16" s="48">
        <f>CAMPAGNE!H18</f>
        <v>46297</v>
      </c>
      <c r="F16" s="48">
        <f>CAMPAGNE!H19</f>
        <v>46300</v>
      </c>
      <c r="G16" s="42" t="s">
        <v>411</v>
      </c>
      <c r="H16" s="42">
        <v>2.0</v>
      </c>
      <c r="I16" s="42" t="s">
        <v>143</v>
      </c>
      <c r="J16" s="42" t="s">
        <v>124</v>
      </c>
      <c r="K16" s="42" t="s">
        <v>144</v>
      </c>
    </row>
    <row r="17" ht="61.5" customHeight="1">
      <c r="A17" s="42" t="s">
        <v>418</v>
      </c>
      <c r="B17" s="44">
        <f>CAMPAGNE!G20</f>
        <v>46302</v>
      </c>
      <c r="C17" s="46">
        <v>0.75</v>
      </c>
      <c r="D17" s="42" t="s">
        <v>138</v>
      </c>
      <c r="E17" s="48">
        <f>CAMPAGNE!H20</f>
        <v>46304</v>
      </c>
      <c r="F17" s="48">
        <f>CAMPAGNE!H21</f>
        <v>46307</v>
      </c>
      <c r="G17" s="42" t="s">
        <v>432</v>
      </c>
      <c r="H17" s="42">
        <v>2.0</v>
      </c>
      <c r="I17" s="42" t="s">
        <v>143</v>
      </c>
      <c r="J17" s="42" t="s">
        <v>124</v>
      </c>
      <c r="K17" s="42" t="s">
        <v>144</v>
      </c>
    </row>
    <row r="18" ht="61.5" customHeight="1">
      <c r="A18" s="42" t="s">
        <v>435</v>
      </c>
      <c r="B18" s="44">
        <f>CAMPAGNE!G22</f>
        <v>46309</v>
      </c>
      <c r="C18" s="46">
        <v>0.75</v>
      </c>
      <c r="D18" s="42" t="s">
        <v>138</v>
      </c>
      <c r="E18" s="48">
        <f>CAMPAGNE!H22</f>
        <v>46311</v>
      </c>
      <c r="F18" s="48">
        <f>CAMPAGNE!H23</f>
        <v>46314</v>
      </c>
      <c r="G18" s="42" t="s">
        <v>448</v>
      </c>
      <c r="H18" s="42">
        <v>2.0</v>
      </c>
      <c r="I18" s="42" t="s">
        <v>143</v>
      </c>
      <c r="J18" s="42" t="s">
        <v>124</v>
      </c>
      <c r="K18" s="42" t="s">
        <v>144</v>
      </c>
    </row>
    <row r="19" ht="61.5" customHeight="1">
      <c r="A19" s="42" t="s">
        <v>456</v>
      </c>
      <c r="B19" s="44">
        <f>CAMPAGNE!G24</f>
        <v>46316</v>
      </c>
      <c r="C19" s="46">
        <v>0.75</v>
      </c>
      <c r="D19" s="42" t="s">
        <v>138</v>
      </c>
      <c r="E19" s="48">
        <f>CAMPAGNE!H24</f>
        <v>46318</v>
      </c>
      <c r="F19" s="48">
        <f>CAMPAGNE!H25</f>
        <v>46321</v>
      </c>
      <c r="G19" s="42" t="s">
        <v>467</v>
      </c>
      <c r="H19" s="42">
        <v>2.0</v>
      </c>
      <c r="I19" s="42" t="s">
        <v>143</v>
      </c>
      <c r="J19" s="42" t="s">
        <v>124</v>
      </c>
      <c r="K19" s="42" t="s">
        <v>144</v>
      </c>
    </row>
    <row r="20" ht="61.5" customHeight="1">
      <c r="A20" s="42" t="s">
        <v>471</v>
      </c>
      <c r="B20" s="44">
        <f>CAMPAGNE!F26</f>
        <v>46323</v>
      </c>
      <c r="C20" s="46">
        <v>0.75</v>
      </c>
      <c r="D20" s="42" t="s">
        <v>101</v>
      </c>
      <c r="E20" s="48">
        <f>CAMPAGNE!H26</f>
        <v>46325</v>
      </c>
      <c r="F20" s="48">
        <f>CAMPAGNE!J33</f>
        <v>46351</v>
      </c>
      <c r="G20" s="42" t="s">
        <v>117</v>
      </c>
      <c r="H20" s="42">
        <v>24.0</v>
      </c>
      <c r="I20" s="42" t="s">
        <v>123</v>
      </c>
      <c r="J20" s="42" t="s">
        <v>124</v>
      </c>
      <c r="K20" s="42" t="s">
        <v>491</v>
      </c>
    </row>
    <row r="21" ht="61.5" customHeight="1">
      <c r="A21" s="42" t="s">
        <v>494</v>
      </c>
      <c r="B21" s="44">
        <f>CAMPAGNE!F26</f>
        <v>46323</v>
      </c>
      <c r="C21" s="46">
        <v>0.75</v>
      </c>
      <c r="D21" s="42" t="s">
        <v>128</v>
      </c>
      <c r="E21" s="48">
        <f>CAMPAGNE!H26</f>
        <v>46325</v>
      </c>
      <c r="F21" s="48">
        <f>CAMPAGNE!J33</f>
        <v>46351</v>
      </c>
      <c r="G21" s="42" t="s">
        <v>129</v>
      </c>
      <c r="H21" s="42">
        <v>16.0</v>
      </c>
      <c r="I21" s="42" t="s">
        <v>130</v>
      </c>
      <c r="J21" s="42" t="s">
        <v>124</v>
      </c>
      <c r="K21" s="42" t="s">
        <v>491</v>
      </c>
    </row>
    <row r="22" ht="61.5" customHeight="1">
      <c r="A22" s="42" t="s">
        <v>515</v>
      </c>
      <c r="B22" s="44">
        <f>CAMPAGNE!G26</f>
        <v>46323</v>
      </c>
      <c r="C22" s="46">
        <v>0.75</v>
      </c>
      <c r="D22" s="42" t="s">
        <v>138</v>
      </c>
      <c r="E22" s="48">
        <f>CAMPAGNE!H26</f>
        <v>46325</v>
      </c>
      <c r="F22" s="48">
        <f>CAMPAGNE!H27</f>
        <v>46328</v>
      </c>
      <c r="G22" s="42" t="s">
        <v>523</v>
      </c>
      <c r="H22" s="42">
        <v>2.0</v>
      </c>
      <c r="I22" s="42" t="s">
        <v>143</v>
      </c>
      <c r="J22" s="42" t="s">
        <v>124</v>
      </c>
      <c r="K22" s="42" t="s">
        <v>144</v>
      </c>
    </row>
    <row r="23" ht="61.5" customHeight="1">
      <c r="A23" s="42" t="s">
        <v>531</v>
      </c>
      <c r="B23" s="44">
        <f>CAMPAGNE!G28</f>
        <v>46330</v>
      </c>
      <c r="C23" s="46">
        <v>0.75</v>
      </c>
      <c r="D23" s="42" t="s">
        <v>138</v>
      </c>
      <c r="E23" s="48">
        <f>CAMPAGNE!H28</f>
        <v>46332</v>
      </c>
      <c r="F23" s="48">
        <f>CAMPAGNE!H29</f>
        <v>46335</v>
      </c>
      <c r="G23" s="42" t="s">
        <v>541</v>
      </c>
      <c r="H23" s="42">
        <v>2.0</v>
      </c>
      <c r="I23" s="42" t="s">
        <v>143</v>
      </c>
      <c r="J23" s="42" t="s">
        <v>124</v>
      </c>
      <c r="K23" s="42" t="s">
        <v>144</v>
      </c>
    </row>
    <row r="24" ht="61.5" customHeight="1">
      <c r="A24" s="42" t="s">
        <v>546</v>
      </c>
      <c r="B24" s="44">
        <f>CAMPAGNE!G30</f>
        <v>46337</v>
      </c>
      <c r="C24" s="46">
        <v>0.75</v>
      </c>
      <c r="D24" s="42" t="s">
        <v>138</v>
      </c>
      <c r="E24" s="48">
        <f>CAMPAGNE!H30</f>
        <v>46339</v>
      </c>
      <c r="F24" s="48">
        <f>CAMPAGNE!H31</f>
        <v>46342</v>
      </c>
      <c r="G24" s="42" t="s">
        <v>556</v>
      </c>
      <c r="H24" s="42">
        <v>2.0</v>
      </c>
      <c r="I24" s="42" t="s">
        <v>143</v>
      </c>
      <c r="J24" s="42" t="s">
        <v>124</v>
      </c>
      <c r="K24" s="42" t="s">
        <v>144</v>
      </c>
    </row>
    <row r="25" ht="61.5" customHeight="1">
      <c r="A25" s="42" t="s">
        <v>566</v>
      </c>
      <c r="B25" s="44">
        <f>CAMPAGNE!G32</f>
        <v>46344</v>
      </c>
      <c r="C25" s="46">
        <v>0.75</v>
      </c>
      <c r="D25" s="42" t="s">
        <v>138</v>
      </c>
      <c r="E25" s="48">
        <f>CAMPAGNE!H32</f>
        <v>46346</v>
      </c>
      <c r="F25" s="48">
        <f>CAMPAGNE!H33</f>
        <v>46349</v>
      </c>
      <c r="G25" s="42" t="s">
        <v>573</v>
      </c>
      <c r="H25" s="42">
        <v>2.0</v>
      </c>
      <c r="I25" s="42" t="s">
        <v>143</v>
      </c>
      <c r="J25" s="42" t="s">
        <v>124</v>
      </c>
      <c r="K25" s="42" t="s">
        <v>144</v>
      </c>
    </row>
    <row r="26" ht="61.5" customHeight="1">
      <c r="A26" s="42" t="s">
        <v>584</v>
      </c>
      <c r="B26" s="44">
        <f>CAMPAGNE!F34</f>
        <v>46351</v>
      </c>
      <c r="C26" s="46">
        <v>0.75</v>
      </c>
      <c r="D26" s="42" t="s">
        <v>101</v>
      </c>
      <c r="E26" s="48">
        <f>CAMPAGNE!H34</f>
        <v>46353</v>
      </c>
      <c r="F26" s="48">
        <f>CAMPAGNE!J35</f>
        <v>46358</v>
      </c>
      <c r="G26" s="42" t="s">
        <v>117</v>
      </c>
      <c r="H26" s="42">
        <v>6.0</v>
      </c>
      <c r="I26" s="42" t="s">
        <v>123</v>
      </c>
      <c r="J26" s="42" t="s">
        <v>124</v>
      </c>
      <c r="K26" s="42" t="s">
        <v>599</v>
      </c>
    </row>
    <row r="27" ht="61.5" customHeight="1">
      <c r="A27" s="42" t="s">
        <v>601</v>
      </c>
      <c r="B27" s="44">
        <f>CAMPAGNE!F34</f>
        <v>46351</v>
      </c>
      <c r="C27" s="46">
        <v>0.75</v>
      </c>
      <c r="D27" s="42" t="s">
        <v>128</v>
      </c>
      <c r="E27" s="48">
        <f>CAMPAGNE!H34</f>
        <v>46353</v>
      </c>
      <c r="F27" s="48">
        <f>CAMPAGNE!J35</f>
        <v>46358</v>
      </c>
      <c r="G27" s="42" t="s">
        <v>129</v>
      </c>
      <c r="H27" s="42">
        <v>4.0</v>
      </c>
      <c r="I27" s="42" t="s">
        <v>130</v>
      </c>
      <c r="J27" s="42" t="s">
        <v>124</v>
      </c>
      <c r="K27" s="42" t="s">
        <v>599</v>
      </c>
    </row>
    <row r="28" ht="61.5" customHeight="1">
      <c r="A28" s="65" t="s">
        <v>620</v>
      </c>
      <c r="B28" s="66">
        <f>CAMPAGNE!G34</f>
        <v>46351</v>
      </c>
      <c r="C28" s="67">
        <v>0.75</v>
      </c>
      <c r="D28" s="65" t="s">
        <v>138</v>
      </c>
      <c r="E28" s="68">
        <f>CAMPAGNE!H34</f>
        <v>46353</v>
      </c>
      <c r="F28" s="68">
        <f>CAMPAGNE!H35</f>
        <v>46356</v>
      </c>
      <c r="G28" s="65" t="s">
        <v>634</v>
      </c>
      <c r="H28" s="65">
        <v>2.0</v>
      </c>
      <c r="I28" s="65" t="s">
        <v>143</v>
      </c>
      <c r="J28" s="65" t="s">
        <v>124</v>
      </c>
      <c r="K28" s="65" t="s">
        <v>144</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K28">
    <cfRule type="expression" dxfId="5" priority="1">
      <formula>$J2="Completata"</formula>
    </cfRule>
  </conditionalFormatting>
  <conditionalFormatting sqref="A2:K28">
    <cfRule type="expression" dxfId="6" priority="2">
      <formula>$J2="Parziale"</formula>
    </cfRule>
  </conditionalFormatting>
  <conditionalFormatting sqref="A2:K28">
    <cfRule type="expression" dxfId="7" priority="3">
      <formula>$J2="Errore"</formula>
    </cfRule>
  </conditionalFormatting>
  <dataValidations>
    <dataValidation type="list" allowBlank="1" sqref="J2:J28">
      <formula1>"Da fare,Completata,Parziale,Errore"</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9.0"/>
    <col customWidth="1" min="2" max="2" width="10.0"/>
    <col customWidth="1" min="3" max="3" width="16.0"/>
    <col customWidth="1" min="4" max="4" width="10.0"/>
    <col customWidth="1" min="5" max="5" width="16.0"/>
    <col customWidth="1" min="6" max="6" width="18.0"/>
    <col customWidth="1" min="7" max="7" width="11.0"/>
    <col customWidth="1" min="8" max="8" width="13.0"/>
    <col customWidth="1" min="9" max="9" width="12.0"/>
    <col customWidth="1" min="10" max="10" width="22.0"/>
    <col customWidth="1" min="11" max="11" width="11.0"/>
    <col customWidth="1" min="12" max="12" width="24.0"/>
    <col customWidth="1" min="13" max="13" width="42.0"/>
    <col customWidth="1" min="14" max="14" width="48.0"/>
    <col customWidth="1" min="15" max="15" width="42.0"/>
    <col customWidth="1" min="16" max="16" width="58.0"/>
    <col customWidth="1" min="17" max="17" width="42.0"/>
    <col customWidth="1" min="18" max="18" width="21.0"/>
    <col customWidth="1" min="19" max="19" width="24.0"/>
    <col customWidth="1" min="20" max="20" width="15.0"/>
    <col customWidth="1" min="21" max="21" width="44.0"/>
    <col customWidth="1" min="22" max="22" width="10.0"/>
    <col customWidth="1" min="23" max="26" width="8.63"/>
  </cols>
  <sheetData>
    <row r="1">
      <c r="A1" s="29" t="s">
        <v>45</v>
      </c>
      <c r="B1" s="29" t="s">
        <v>57</v>
      </c>
      <c r="C1" s="29" t="s">
        <v>38</v>
      </c>
      <c r="D1" s="29" t="s">
        <v>41</v>
      </c>
      <c r="E1" s="29" t="s">
        <v>69</v>
      </c>
      <c r="F1" s="29" t="s">
        <v>71</v>
      </c>
      <c r="G1" s="29" t="s">
        <v>75</v>
      </c>
      <c r="H1" s="29" t="s">
        <v>78</v>
      </c>
      <c r="I1" s="29" t="s">
        <v>82</v>
      </c>
      <c r="J1" s="29" t="s">
        <v>85</v>
      </c>
      <c r="K1" s="29" t="s">
        <v>51</v>
      </c>
      <c r="L1" s="29" t="s">
        <v>91</v>
      </c>
      <c r="M1" s="29" t="s">
        <v>94</v>
      </c>
      <c r="N1" s="29" t="s">
        <v>97</v>
      </c>
      <c r="O1" s="29" t="s">
        <v>100</v>
      </c>
      <c r="P1" s="29" t="s">
        <v>104</v>
      </c>
      <c r="Q1" s="29" t="s">
        <v>105</v>
      </c>
      <c r="R1" s="29" t="s">
        <v>109</v>
      </c>
      <c r="S1" s="29" t="s">
        <v>110</v>
      </c>
      <c r="T1" s="29" t="s">
        <v>63</v>
      </c>
      <c r="U1" s="29" t="s">
        <v>113</v>
      </c>
      <c r="V1" s="29" t="s">
        <v>116</v>
      </c>
    </row>
    <row r="2" ht="78.0" customHeight="1">
      <c r="A2" s="40" t="s">
        <v>118</v>
      </c>
      <c r="B2" s="40">
        <v>1.0</v>
      </c>
      <c r="C2" s="43">
        <f>CAMPAGNE!F2</f>
        <v>46239</v>
      </c>
      <c r="D2" s="45">
        <v>0.75</v>
      </c>
      <c r="E2" s="47">
        <f>CAMPAGNE!H2</f>
        <v>46241</v>
      </c>
      <c r="F2" s="40" t="str">
        <f t="shared" ref="F2:F239" si="1">CHOOSE(WEEKDAY(E2,2),"Lunedì","Martedì","Mercoledì","Giovedì","Venerdì","Sabato","Domenica")</f>
        <v>Venerdì</v>
      </c>
      <c r="G2" s="45">
        <v>0.8333333333333334</v>
      </c>
      <c r="H2" s="40" t="s">
        <v>128</v>
      </c>
      <c r="I2" s="40" t="s">
        <v>131</v>
      </c>
      <c r="J2" s="49" t="s">
        <v>132</v>
      </c>
      <c r="K2" s="40" t="s">
        <v>133</v>
      </c>
      <c r="L2" s="49" t="s">
        <v>132</v>
      </c>
      <c r="M2" s="49" t="s">
        <v>135</v>
      </c>
      <c r="N2" s="49" t="s">
        <v>136</v>
      </c>
      <c r="O2" s="49" t="s">
        <v>137</v>
      </c>
      <c r="P2" s="49" t="str">
        <f>TESTI!E2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#DiariDiPelle #NottiFugaci #NarrativaItaliana #LibriDaLeggere #RaccontiContemporanei</v>
      </c>
      <c r="Q2" s="50" t="str">
        <f>TESTI!J2</f>
        <v>https://diaridipelle.it/notti-fugaci.html</v>
      </c>
      <c r="R2" s="49" t="s">
        <v>139</v>
      </c>
      <c r="S2" s="40" t="s">
        <v>140</v>
      </c>
      <c r="T2" s="40" t="s">
        <v>124</v>
      </c>
      <c r="U2" s="49" t="s">
        <v>142</v>
      </c>
      <c r="V2" s="49" t="str">
        <f t="shared" ref="V2:V239" si="2">IF(AND(E2&lt;TODAY(),T2&lt;&gt;"Pubblicato"),"SÌ","")</f>
        <v/>
      </c>
      <c r="W2" s="51"/>
      <c r="X2" s="51"/>
      <c r="Y2" s="51"/>
      <c r="Z2" s="51"/>
    </row>
    <row r="3" ht="78.0" customHeight="1">
      <c r="A3" s="52" t="s">
        <v>146</v>
      </c>
      <c r="B3" s="52">
        <v>1.0</v>
      </c>
      <c r="C3" s="53">
        <f>CAMPAGNE!F2</f>
        <v>46239</v>
      </c>
      <c r="D3" s="54">
        <v>0.75</v>
      </c>
      <c r="E3" s="55">
        <f>CAMPAGNE!H2</f>
        <v>46241</v>
      </c>
      <c r="F3" s="52" t="str">
        <f t="shared" si="1"/>
        <v>Venerdì</v>
      </c>
      <c r="G3" s="54">
        <v>0.8333333333333334</v>
      </c>
      <c r="H3" s="52" t="s">
        <v>152</v>
      </c>
      <c r="I3" s="52" t="s">
        <v>131</v>
      </c>
      <c r="J3" s="56" t="s">
        <v>132</v>
      </c>
      <c r="K3" s="52" t="s">
        <v>133</v>
      </c>
      <c r="L3" s="56" t="s">
        <v>132</v>
      </c>
      <c r="M3" s="56" t="s">
        <v>172</v>
      </c>
      <c r="N3" s="56" t="s">
        <v>136</v>
      </c>
      <c r="O3" s="56" t="s">
        <v>137</v>
      </c>
      <c r="P3" s="56" t="str">
        <f>TESTI!F2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 https://diaridipelle.it/notti-fugaci.html
📕 Cartaceo: https://www.amazon.it/dp/B0GRWP3X7C
📱 Kindle: https://www.amazon.it/dp/B0GRWP6PMK
#DiariDiPelle #NottiFugaci #NarrativaItaliana #LibriDaLeggere #RaccontiContemporanei</v>
      </c>
      <c r="Q3" s="57" t="str">
        <f>TESTI!J2</f>
        <v>https://diaridipelle.it/notti-fugaci.html</v>
      </c>
      <c r="R3" s="56" t="s">
        <v>188</v>
      </c>
      <c r="S3" s="52" t="s">
        <v>140</v>
      </c>
      <c r="T3" s="52" t="s">
        <v>124</v>
      </c>
      <c r="U3" s="56" t="s">
        <v>193</v>
      </c>
      <c r="V3" s="56" t="str">
        <f t="shared" si="2"/>
        <v/>
      </c>
      <c r="W3" s="51"/>
      <c r="X3" s="51"/>
      <c r="Y3" s="51"/>
      <c r="Z3" s="51"/>
    </row>
    <row r="4" ht="78.0" customHeight="1">
      <c r="A4" s="52" t="s">
        <v>198</v>
      </c>
      <c r="B4" s="52">
        <v>1.0</v>
      </c>
      <c r="C4" s="53">
        <f>CAMPAGNE!G2</f>
        <v>46239</v>
      </c>
      <c r="D4" s="54">
        <v>0.75</v>
      </c>
      <c r="E4" s="55">
        <f>CAMPAGNE!H2</f>
        <v>46241</v>
      </c>
      <c r="F4" s="52" t="str">
        <f t="shared" si="1"/>
        <v>Venerdì</v>
      </c>
      <c r="G4" s="54">
        <v>0.8333333333333334</v>
      </c>
      <c r="H4" s="52" t="s">
        <v>213</v>
      </c>
      <c r="I4" s="52" t="s">
        <v>111</v>
      </c>
      <c r="J4" s="56" t="s">
        <v>132</v>
      </c>
      <c r="K4" s="52" t="s">
        <v>133</v>
      </c>
      <c r="L4" s="56" t="s">
        <v>132</v>
      </c>
      <c r="M4" s="56" t="s">
        <v>223</v>
      </c>
      <c r="N4" s="56" t="s">
        <v>136</v>
      </c>
      <c r="O4" s="56" t="s">
        <v>137</v>
      </c>
      <c r="P4" s="56" t="str">
        <f>TESTI!G2</f>
        <v>Ci sono notti che finiscono all'alba. Altre continuano a vivere sotto la pelle.
«Notti Fugaci» da Notti Fugaci.
Scopri il libro dal link in bio.
#DiariDiPelle #NottiFugaci #BookTokItalia #LibriTikTok</v>
      </c>
      <c r="Q4" s="57" t="str">
        <f>TESTI!J2</f>
        <v>https://diaridipelle.it/notti-fugaci.html</v>
      </c>
      <c r="R4" s="56" t="s">
        <v>138</v>
      </c>
      <c r="S4" s="52" t="s">
        <v>231</v>
      </c>
      <c r="T4" s="52" t="s">
        <v>124</v>
      </c>
      <c r="U4" s="56" t="s">
        <v>234</v>
      </c>
      <c r="V4" s="56" t="str">
        <f t="shared" si="2"/>
        <v/>
      </c>
      <c r="W4" s="51"/>
      <c r="X4" s="51"/>
      <c r="Y4" s="51"/>
      <c r="Z4" s="51"/>
    </row>
    <row r="5" ht="78.0" customHeight="1">
      <c r="A5" s="60" t="s">
        <v>240</v>
      </c>
      <c r="B5" s="60">
        <v>1.0</v>
      </c>
      <c r="C5" s="61">
        <f>CAMPAGNE!I2</f>
        <v>46242</v>
      </c>
      <c r="D5" s="62">
        <v>0.4965277777777778</v>
      </c>
      <c r="E5" s="63">
        <f>CAMPAGNE!I2</f>
        <v>46242</v>
      </c>
      <c r="F5" s="60" t="str">
        <f t="shared" si="1"/>
        <v>Sabato</v>
      </c>
      <c r="G5" s="62">
        <v>0.5</v>
      </c>
      <c r="H5" s="60" t="s">
        <v>128</v>
      </c>
      <c r="I5" s="60" t="s">
        <v>170</v>
      </c>
      <c r="J5" s="42" t="s">
        <v>132</v>
      </c>
      <c r="K5" s="60" t="s">
        <v>133</v>
      </c>
      <c r="L5" s="42" t="s">
        <v>132</v>
      </c>
      <c r="M5" s="42" t="s">
        <v>252</v>
      </c>
      <c r="N5" s="42" t="s">
        <v>210</v>
      </c>
      <c r="O5" s="42" t="s">
        <v>254</v>
      </c>
      <c r="P5" s="42" t="str">
        <f>TESTI!N2</f>
        <v>Tocca SCOPRI IL LIBRO e scegli cartaceo o Kindle.</v>
      </c>
      <c r="Q5" s="64" t="str">
        <f>TESTI!H2</f>
        <v>https://diaridipelle.it/notti-fugaci.html?utm_source=instagram&amp;utm_medium=story&amp;utm_campaign=notti_fugaci&amp;utm_content=trailer</v>
      </c>
      <c r="R5" s="42" t="s">
        <v>139</v>
      </c>
      <c r="S5" s="60" t="s">
        <v>79</v>
      </c>
      <c r="T5" s="60" t="s">
        <v>124</v>
      </c>
      <c r="U5" s="42" t="s">
        <v>262</v>
      </c>
      <c r="V5" s="42" t="str">
        <f t="shared" si="2"/>
        <v/>
      </c>
    </row>
    <row r="6" ht="78.0" customHeight="1">
      <c r="A6" s="60" t="s">
        <v>265</v>
      </c>
      <c r="B6" s="60">
        <v>1.0</v>
      </c>
      <c r="C6" s="61">
        <f>CAMPAGNE!F2</f>
        <v>46239</v>
      </c>
      <c r="D6" s="62">
        <v>0.75</v>
      </c>
      <c r="E6" s="63">
        <f>CAMPAGNE!I2</f>
        <v>46242</v>
      </c>
      <c r="F6" s="60" t="str">
        <f t="shared" si="1"/>
        <v>Sabato</v>
      </c>
      <c r="G6" s="62">
        <v>0.5</v>
      </c>
      <c r="H6" s="60" t="s">
        <v>152</v>
      </c>
      <c r="I6" s="60" t="s">
        <v>170</v>
      </c>
      <c r="J6" s="42" t="s">
        <v>132</v>
      </c>
      <c r="K6" s="60" t="s">
        <v>133</v>
      </c>
      <c r="L6" s="42" t="s">
        <v>132</v>
      </c>
      <c r="M6" s="42" t="s">
        <v>285</v>
      </c>
      <c r="N6" s="42" t="s">
        <v>210</v>
      </c>
      <c r="O6" s="42" t="s">
        <v>254</v>
      </c>
      <c r="P6" s="42" t="str">
        <f>TESTI!N2</f>
        <v>Tocca SCOPRI IL LIBRO e scegli cartaceo o Kindle.</v>
      </c>
      <c r="Q6" s="64" t="str">
        <f>TESTI!I2</f>
        <v>https://diaridipelle.it/notti-fugaci.html?utm_source=facebook&amp;utm_medium=story&amp;utm_campaign=notti_fugaci&amp;utm_content=trailer</v>
      </c>
      <c r="R6" s="42" t="s">
        <v>188</v>
      </c>
      <c r="S6" s="60" t="s">
        <v>140</v>
      </c>
      <c r="T6" s="60" t="s">
        <v>124</v>
      </c>
      <c r="U6" s="42" t="s">
        <v>294</v>
      </c>
      <c r="V6" s="42" t="str">
        <f t="shared" si="2"/>
        <v/>
      </c>
    </row>
    <row r="7" ht="78.0" customHeight="1">
      <c r="A7" s="60" t="s">
        <v>300</v>
      </c>
      <c r="B7" s="60">
        <v>1.0</v>
      </c>
      <c r="C7" s="61">
        <f>CAMPAGNE!F2</f>
        <v>46239</v>
      </c>
      <c r="D7" s="62">
        <v>0.75</v>
      </c>
      <c r="E7" s="63">
        <f>CAMPAGNE!J2</f>
        <v>46243</v>
      </c>
      <c r="F7" s="60" t="str">
        <f t="shared" si="1"/>
        <v>Domenica</v>
      </c>
      <c r="G7" s="62">
        <v>0.8333333333333334</v>
      </c>
      <c r="H7" s="60" t="s">
        <v>128</v>
      </c>
      <c r="I7" s="60" t="s">
        <v>119</v>
      </c>
      <c r="J7" s="42" t="s">
        <v>132</v>
      </c>
      <c r="K7" s="60" t="s">
        <v>133</v>
      </c>
      <c r="L7" s="42" t="s">
        <v>132</v>
      </c>
      <c r="M7" s="42" t="s">
        <v>313</v>
      </c>
      <c r="N7" s="42" t="s">
        <v>211</v>
      </c>
      <c r="O7" s="42" t="s">
        <v>316</v>
      </c>
      <c r="P7" s="42" t="str">
        <f>TESTI!E2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#DiariDiPelle #NottiFugaci #NarrativaItaliana #LibriDaLeggere #RaccontiContemporanei</v>
      </c>
      <c r="Q7" s="64" t="str">
        <f>TESTI!J2</f>
        <v>https://diaridipelle.it/notti-fugaci.html</v>
      </c>
      <c r="R7" s="42" t="s">
        <v>139</v>
      </c>
      <c r="S7" s="60" t="s">
        <v>140</v>
      </c>
      <c r="T7" s="60" t="s">
        <v>124</v>
      </c>
      <c r="U7" s="42" t="s">
        <v>328</v>
      </c>
      <c r="V7" s="42" t="str">
        <f t="shared" si="2"/>
        <v/>
      </c>
    </row>
    <row r="8" ht="78.0" customHeight="1">
      <c r="A8" s="60" t="s">
        <v>331</v>
      </c>
      <c r="B8" s="60">
        <v>1.0</v>
      </c>
      <c r="C8" s="61">
        <f>CAMPAGNE!F2</f>
        <v>46239</v>
      </c>
      <c r="D8" s="62">
        <v>0.75</v>
      </c>
      <c r="E8" s="63">
        <f>CAMPAGNE!J2</f>
        <v>46243</v>
      </c>
      <c r="F8" s="60" t="str">
        <f t="shared" si="1"/>
        <v>Domenica</v>
      </c>
      <c r="G8" s="62">
        <v>0.8333333333333334</v>
      </c>
      <c r="H8" s="60" t="s">
        <v>152</v>
      </c>
      <c r="I8" s="60" t="s">
        <v>119</v>
      </c>
      <c r="J8" s="42" t="s">
        <v>132</v>
      </c>
      <c r="K8" s="60" t="s">
        <v>133</v>
      </c>
      <c r="L8" s="42" t="s">
        <v>132</v>
      </c>
      <c r="M8" s="42" t="s">
        <v>313</v>
      </c>
      <c r="N8" s="42" t="s">
        <v>211</v>
      </c>
      <c r="O8" s="42" t="s">
        <v>316</v>
      </c>
      <c r="P8" s="42" t="str">
        <f>TESTI!F2</f>
        <v>Ci sono notti che finiscono all'alba. Altre continuano a vivere sotto la pelle.
Notti Fugaci apre la collana Diari di Pelle: dieci incontri attraversati senza cercare assoluzioni, tra desiderio, memoria, città e libertà.
Il libro è disponibile in versione cartacea e Kindle. Scoprilo dal link nel profilo.
🌐 https://diaridipelle.it/notti-fugaci.html
📕 Cartaceo: https://www.amazon.it/dp/B0GRWP3X7C
📱 Kindle: https://www.amazon.it/dp/B0GRWP6PMK
#DiariDiPelle #NottiFugaci #NarrativaItaliana #LibriDaLeggere #RaccontiContemporanei</v>
      </c>
      <c r="Q8" s="64" t="str">
        <f>TESTI!J2</f>
        <v>https://diaridipelle.it/notti-fugaci.html</v>
      </c>
      <c r="R8" s="42" t="s">
        <v>188</v>
      </c>
      <c r="S8" s="60" t="s">
        <v>140</v>
      </c>
      <c r="T8" s="60" t="s">
        <v>124</v>
      </c>
      <c r="U8" s="42" t="s">
        <v>351</v>
      </c>
      <c r="V8" s="42" t="str">
        <f t="shared" si="2"/>
        <v/>
      </c>
    </row>
    <row r="9" ht="78.0" customHeight="1">
      <c r="A9" s="60" t="s">
        <v>354</v>
      </c>
      <c r="B9" s="60">
        <v>1.0</v>
      </c>
      <c r="C9" s="61">
        <f>CAMPAGNE!F3</f>
        <v>46239</v>
      </c>
      <c r="D9" s="62">
        <v>0.75</v>
      </c>
      <c r="E9" s="63">
        <f>CAMPAGNE!H3</f>
        <v>46244</v>
      </c>
      <c r="F9" s="60" t="str">
        <f t="shared" si="1"/>
        <v>Lunedì</v>
      </c>
      <c r="G9" s="62">
        <v>0.8333333333333334</v>
      </c>
      <c r="H9" s="60" t="s">
        <v>128</v>
      </c>
      <c r="I9" s="60" t="s">
        <v>131</v>
      </c>
      <c r="J9" s="42" t="s">
        <v>132</v>
      </c>
      <c r="K9" s="60" t="s">
        <v>189</v>
      </c>
      <c r="L9" s="42" t="s">
        <v>190</v>
      </c>
      <c r="M9" s="42" t="s">
        <v>135</v>
      </c>
      <c r="N9" s="42" t="s">
        <v>236</v>
      </c>
      <c r="O9" s="42" t="s">
        <v>237</v>
      </c>
      <c r="P9" s="42" t="str">
        <f>TESTI!E3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#DiariDiPelle #NottiFugaci #NarrativaItaliana #Montmartre #LibriDaLeggere</v>
      </c>
      <c r="Q9" s="64" t="str">
        <f>TESTI!J3</f>
        <v>https://diaridipelle.it/notti-fugaci.html</v>
      </c>
      <c r="R9" s="42" t="s">
        <v>139</v>
      </c>
      <c r="S9" s="60" t="s">
        <v>140</v>
      </c>
      <c r="T9" s="60" t="s">
        <v>124</v>
      </c>
      <c r="U9" s="42" t="s">
        <v>142</v>
      </c>
      <c r="V9" s="42" t="str">
        <f t="shared" si="2"/>
        <v/>
      </c>
    </row>
    <row r="10" ht="78.0" customHeight="1">
      <c r="A10" s="60" t="s">
        <v>374</v>
      </c>
      <c r="B10" s="60">
        <v>1.0</v>
      </c>
      <c r="C10" s="61">
        <f>CAMPAGNE!F3</f>
        <v>46239</v>
      </c>
      <c r="D10" s="62">
        <v>0.75</v>
      </c>
      <c r="E10" s="63">
        <f>CAMPAGNE!H3</f>
        <v>46244</v>
      </c>
      <c r="F10" s="60" t="str">
        <f t="shared" si="1"/>
        <v>Lunedì</v>
      </c>
      <c r="G10" s="62">
        <v>0.8333333333333334</v>
      </c>
      <c r="H10" s="60" t="s">
        <v>152</v>
      </c>
      <c r="I10" s="60" t="s">
        <v>131</v>
      </c>
      <c r="J10" s="42" t="s">
        <v>132</v>
      </c>
      <c r="K10" s="60" t="s">
        <v>189</v>
      </c>
      <c r="L10" s="42" t="s">
        <v>190</v>
      </c>
      <c r="M10" s="42" t="s">
        <v>172</v>
      </c>
      <c r="N10" s="42" t="s">
        <v>236</v>
      </c>
      <c r="O10" s="42" t="s">
        <v>237</v>
      </c>
      <c r="P10" s="42" t="str">
        <f>TESTI!F3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 https://diaridipelle.it/notti-fugaci.html
📕 Cartaceo: https://www.amazon.it/dp/B0GRWP3X7C
📱 Kindle: https://www.amazon.it/dp/B0GRWP6PMK
#DiariDiPelle #NottiFugaci #NarrativaItaliana #Montmartre #LibriDaLeggere</v>
      </c>
      <c r="Q10" s="64" t="str">
        <f>TESTI!J3</f>
        <v>https://diaridipelle.it/notti-fugaci.html</v>
      </c>
      <c r="R10" s="42" t="s">
        <v>188</v>
      </c>
      <c r="S10" s="60" t="s">
        <v>140</v>
      </c>
      <c r="T10" s="60" t="s">
        <v>124</v>
      </c>
      <c r="U10" s="42" t="s">
        <v>193</v>
      </c>
      <c r="V10" s="42" t="str">
        <f t="shared" si="2"/>
        <v/>
      </c>
    </row>
    <row r="11" ht="78.0" customHeight="1">
      <c r="A11" s="60" t="s">
        <v>391</v>
      </c>
      <c r="B11" s="60">
        <v>1.0</v>
      </c>
      <c r="C11" s="61">
        <f>CAMPAGNE!G3</f>
        <v>46239</v>
      </c>
      <c r="D11" s="62">
        <v>0.75</v>
      </c>
      <c r="E11" s="63">
        <f>CAMPAGNE!H3</f>
        <v>46244</v>
      </c>
      <c r="F11" s="60" t="str">
        <f t="shared" si="1"/>
        <v>Lunedì</v>
      </c>
      <c r="G11" s="62">
        <v>0.8333333333333334</v>
      </c>
      <c r="H11" s="60" t="s">
        <v>213</v>
      </c>
      <c r="I11" s="60" t="s">
        <v>111</v>
      </c>
      <c r="J11" s="42" t="s">
        <v>132</v>
      </c>
      <c r="K11" s="60" t="s">
        <v>189</v>
      </c>
      <c r="L11" s="42" t="s">
        <v>190</v>
      </c>
      <c r="M11" s="42" t="s">
        <v>223</v>
      </c>
      <c r="N11" s="42" t="s">
        <v>236</v>
      </c>
      <c r="O11" s="42" t="s">
        <v>237</v>
      </c>
      <c r="P11" s="42" t="str">
        <f>TESTI!G3</f>
        <v>Quante volte hai lasciato che un «non posso» decidesse al posto tuo?
«L'ora del crepuscolo» da Notti Fugaci.
Scopri il libro dal link in bio.
#DiariDiPelle #NottiFugaci #BookTokItalia #LibriTikTok</v>
      </c>
      <c r="Q11" s="64" t="str">
        <f>TESTI!J3</f>
        <v>https://diaridipelle.it/notti-fugaci.html</v>
      </c>
      <c r="R11" s="42" t="s">
        <v>138</v>
      </c>
      <c r="S11" s="60" t="s">
        <v>231</v>
      </c>
      <c r="T11" s="60" t="s">
        <v>124</v>
      </c>
      <c r="U11" s="42" t="s">
        <v>234</v>
      </c>
      <c r="V11" s="42" t="str">
        <f t="shared" si="2"/>
        <v/>
      </c>
    </row>
    <row r="12" ht="78.0" customHeight="1">
      <c r="A12" s="60" t="s">
        <v>408</v>
      </c>
      <c r="B12" s="60">
        <v>1.0</v>
      </c>
      <c r="C12" s="61">
        <f>CAMPAGNE!I3</f>
        <v>46245</v>
      </c>
      <c r="D12" s="62">
        <v>0.4965277777777778</v>
      </c>
      <c r="E12" s="63">
        <f>CAMPAGNE!I3</f>
        <v>46245</v>
      </c>
      <c r="F12" s="60" t="str">
        <f t="shared" si="1"/>
        <v>Martedì</v>
      </c>
      <c r="G12" s="62">
        <v>0.5</v>
      </c>
      <c r="H12" s="60" t="s">
        <v>128</v>
      </c>
      <c r="I12" s="60" t="s">
        <v>170</v>
      </c>
      <c r="J12" s="42" t="s">
        <v>132</v>
      </c>
      <c r="K12" s="60" t="s">
        <v>189</v>
      </c>
      <c r="L12" s="42" t="s">
        <v>190</v>
      </c>
      <c r="M12" s="42" t="s">
        <v>252</v>
      </c>
      <c r="N12" s="42" t="s">
        <v>238</v>
      </c>
      <c r="O12" s="42" t="s">
        <v>420</v>
      </c>
      <c r="P12" s="42" t="str">
        <f>TESTI!N3</f>
        <v>Tocca SCOPRI IL LIBRO e scegli cartaceo o Kindle.</v>
      </c>
      <c r="Q12" s="64" t="str">
        <f>TESTI!H3</f>
        <v>https://diaridipelle.it/notti-fugaci.html?utm_source=instagram&amp;utm_medium=story&amp;utm_campaign=notti_fugaci&amp;utm_content=ch01</v>
      </c>
      <c r="R12" s="42" t="s">
        <v>139</v>
      </c>
      <c r="S12" s="60" t="s">
        <v>79</v>
      </c>
      <c r="T12" s="60" t="s">
        <v>124</v>
      </c>
      <c r="U12" s="42" t="s">
        <v>262</v>
      </c>
      <c r="V12" s="42" t="str">
        <f t="shared" si="2"/>
        <v/>
      </c>
    </row>
    <row r="13" ht="78.0" customHeight="1">
      <c r="A13" s="60" t="s">
        <v>431</v>
      </c>
      <c r="B13" s="60">
        <v>1.0</v>
      </c>
      <c r="C13" s="61">
        <f>CAMPAGNE!F3</f>
        <v>46239</v>
      </c>
      <c r="D13" s="62">
        <v>0.75</v>
      </c>
      <c r="E13" s="63">
        <f>CAMPAGNE!I3</f>
        <v>46245</v>
      </c>
      <c r="F13" s="60" t="str">
        <f t="shared" si="1"/>
        <v>Martedì</v>
      </c>
      <c r="G13" s="62">
        <v>0.5</v>
      </c>
      <c r="H13" s="60" t="s">
        <v>152</v>
      </c>
      <c r="I13" s="60" t="s">
        <v>170</v>
      </c>
      <c r="J13" s="42" t="s">
        <v>132</v>
      </c>
      <c r="K13" s="60" t="s">
        <v>189</v>
      </c>
      <c r="L13" s="42" t="s">
        <v>190</v>
      </c>
      <c r="M13" s="42" t="s">
        <v>285</v>
      </c>
      <c r="N13" s="42" t="s">
        <v>238</v>
      </c>
      <c r="O13" s="42" t="s">
        <v>420</v>
      </c>
      <c r="P13" s="42" t="str">
        <f>TESTI!N3</f>
        <v>Tocca SCOPRI IL LIBRO e scegli cartaceo o Kindle.</v>
      </c>
      <c r="Q13" s="64" t="str">
        <f>TESTI!I3</f>
        <v>https://diaridipelle.it/notti-fugaci.html?utm_source=facebook&amp;utm_medium=story&amp;utm_campaign=notti_fugaci&amp;utm_content=ch01</v>
      </c>
      <c r="R13" s="42" t="s">
        <v>188</v>
      </c>
      <c r="S13" s="60" t="s">
        <v>140</v>
      </c>
      <c r="T13" s="60" t="s">
        <v>124</v>
      </c>
      <c r="U13" s="42" t="s">
        <v>294</v>
      </c>
      <c r="V13" s="42" t="str">
        <f t="shared" si="2"/>
        <v/>
      </c>
    </row>
    <row r="14" ht="78.0" customHeight="1">
      <c r="A14" s="60" t="s">
        <v>450</v>
      </c>
      <c r="B14" s="60">
        <v>1.0</v>
      </c>
      <c r="C14" s="61">
        <f>CAMPAGNE!F3</f>
        <v>46239</v>
      </c>
      <c r="D14" s="62">
        <v>0.75</v>
      </c>
      <c r="E14" s="63">
        <f>CAMPAGNE!J3</f>
        <v>46246</v>
      </c>
      <c r="F14" s="60" t="str">
        <f t="shared" si="1"/>
        <v>Mercoledì</v>
      </c>
      <c r="G14" s="62">
        <v>0.4583333333333333</v>
      </c>
      <c r="H14" s="60" t="s">
        <v>128</v>
      </c>
      <c r="I14" s="60" t="s">
        <v>119</v>
      </c>
      <c r="J14" s="42" t="s">
        <v>132</v>
      </c>
      <c r="K14" s="60" t="s">
        <v>189</v>
      </c>
      <c r="L14" s="42" t="s">
        <v>190</v>
      </c>
      <c r="M14" s="42" t="s">
        <v>313</v>
      </c>
      <c r="N14" s="42" t="s">
        <v>241</v>
      </c>
      <c r="O14" s="42" t="s">
        <v>316</v>
      </c>
      <c r="P14" s="42" t="str">
        <f>TESTI!E3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#DiariDiPelle #NottiFugaci #NarrativaItaliana #Montmartre #LibriDaLeggere</v>
      </c>
      <c r="Q14" s="64" t="str">
        <f>TESTI!J3</f>
        <v>https://diaridipelle.it/notti-fugaci.html</v>
      </c>
      <c r="R14" s="42" t="s">
        <v>139</v>
      </c>
      <c r="S14" s="60" t="s">
        <v>140</v>
      </c>
      <c r="T14" s="60" t="s">
        <v>124</v>
      </c>
      <c r="U14" s="42" t="s">
        <v>328</v>
      </c>
      <c r="V14" s="42" t="str">
        <f t="shared" si="2"/>
        <v/>
      </c>
    </row>
    <row r="15" ht="78.0" customHeight="1">
      <c r="A15" s="60" t="s">
        <v>466</v>
      </c>
      <c r="B15" s="60">
        <v>1.0</v>
      </c>
      <c r="C15" s="61">
        <f>CAMPAGNE!F3</f>
        <v>46239</v>
      </c>
      <c r="D15" s="62">
        <v>0.75</v>
      </c>
      <c r="E15" s="63">
        <f>CAMPAGNE!J3</f>
        <v>46246</v>
      </c>
      <c r="F15" s="60" t="str">
        <f t="shared" si="1"/>
        <v>Mercoledì</v>
      </c>
      <c r="G15" s="62">
        <v>0.4583333333333333</v>
      </c>
      <c r="H15" s="60" t="s">
        <v>152</v>
      </c>
      <c r="I15" s="60" t="s">
        <v>119</v>
      </c>
      <c r="J15" s="42" t="s">
        <v>132</v>
      </c>
      <c r="K15" s="60" t="s">
        <v>189</v>
      </c>
      <c r="L15" s="42" t="s">
        <v>190</v>
      </c>
      <c r="M15" s="42" t="s">
        <v>313</v>
      </c>
      <c r="N15" s="42" t="s">
        <v>241</v>
      </c>
      <c r="O15" s="42" t="s">
        <v>316</v>
      </c>
      <c r="P15" s="42" t="str">
        <f>TESTI!F3</f>
        <v>Quante volte hai lasciato che un «non posso» decidesse al posto tuo?
Per anni il desiderio è rimasto dall'altra parte del vetro. Poi, in una notte di pioggia sopra i tetti di Montmartre, il tempo tra due respiri ha cambiato tutto.
«L'ora del crepuscolo» apre Notti Fugaci: dieci incontri, dieci modi diversi di cambiare pelle.
La storia completa è disponibile in versione cartacea e Kindle. Trovi il libro dal link nel profilo.
🌐 https://diaridipelle.it/notti-fugaci.html
📕 Cartaceo: https://www.amazon.it/dp/B0GRWP3X7C
📱 Kindle: https://www.amazon.it/dp/B0GRWP6PMK
#DiariDiPelle #NottiFugaci #NarrativaItaliana #Montmartre #LibriDaLeggere</v>
      </c>
      <c r="Q15" s="64" t="str">
        <f>TESTI!J3</f>
        <v>https://diaridipelle.it/notti-fugaci.html</v>
      </c>
      <c r="R15" s="42" t="s">
        <v>188</v>
      </c>
      <c r="S15" s="60" t="s">
        <v>140</v>
      </c>
      <c r="T15" s="60" t="s">
        <v>124</v>
      </c>
      <c r="U15" s="42" t="s">
        <v>351</v>
      </c>
      <c r="V15" s="42" t="str">
        <f t="shared" si="2"/>
        <v/>
      </c>
    </row>
    <row r="16" ht="78.0" customHeight="1">
      <c r="A16" s="60" t="s">
        <v>481</v>
      </c>
      <c r="B16" s="60">
        <v>2.0</v>
      </c>
      <c r="C16" s="61">
        <f>CAMPAGNE!F4</f>
        <v>46239</v>
      </c>
      <c r="D16" s="62">
        <v>0.75</v>
      </c>
      <c r="E16" s="63">
        <f>CAMPAGNE!H4</f>
        <v>46248</v>
      </c>
      <c r="F16" s="60" t="str">
        <f t="shared" si="1"/>
        <v>Venerdì</v>
      </c>
      <c r="G16" s="62">
        <v>0.8333333333333334</v>
      </c>
      <c r="H16" s="60" t="s">
        <v>128</v>
      </c>
      <c r="I16" s="60" t="s">
        <v>131</v>
      </c>
      <c r="J16" s="42" t="s">
        <v>132</v>
      </c>
      <c r="K16" s="60" t="s">
        <v>201</v>
      </c>
      <c r="L16" s="42" t="s">
        <v>202</v>
      </c>
      <c r="M16" s="42" t="s">
        <v>135</v>
      </c>
      <c r="N16" s="42" t="s">
        <v>264</v>
      </c>
      <c r="O16" s="42" t="s">
        <v>266</v>
      </c>
      <c r="P16" s="42" t="str">
        <f>TESTI!E4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#DiariDiPelle #NottiFugaci #Parigi #NarrativaContemporanea #LibriItaliani</v>
      </c>
      <c r="Q16" s="64" t="str">
        <f>TESTI!J4</f>
        <v>https://diaridipelle.it/notti-fugaci.html</v>
      </c>
      <c r="R16" s="42" t="s">
        <v>139</v>
      </c>
      <c r="S16" s="60" t="s">
        <v>140</v>
      </c>
      <c r="T16" s="60" t="s">
        <v>124</v>
      </c>
      <c r="U16" s="42" t="s">
        <v>142</v>
      </c>
      <c r="V16" s="42" t="str">
        <f t="shared" si="2"/>
        <v/>
      </c>
    </row>
    <row r="17" ht="78.0" customHeight="1">
      <c r="A17" s="60" t="s">
        <v>504</v>
      </c>
      <c r="B17" s="60">
        <v>2.0</v>
      </c>
      <c r="C17" s="61">
        <f>CAMPAGNE!F4</f>
        <v>46239</v>
      </c>
      <c r="D17" s="62">
        <v>0.75</v>
      </c>
      <c r="E17" s="63">
        <f>CAMPAGNE!H4</f>
        <v>46248</v>
      </c>
      <c r="F17" s="60" t="str">
        <f t="shared" si="1"/>
        <v>Venerdì</v>
      </c>
      <c r="G17" s="62">
        <v>0.8333333333333334</v>
      </c>
      <c r="H17" s="60" t="s">
        <v>152</v>
      </c>
      <c r="I17" s="60" t="s">
        <v>131</v>
      </c>
      <c r="J17" s="42" t="s">
        <v>132</v>
      </c>
      <c r="K17" s="60" t="s">
        <v>201</v>
      </c>
      <c r="L17" s="42" t="s">
        <v>202</v>
      </c>
      <c r="M17" s="42" t="s">
        <v>172</v>
      </c>
      <c r="N17" s="42" t="s">
        <v>264</v>
      </c>
      <c r="O17" s="42" t="s">
        <v>266</v>
      </c>
      <c r="P17" s="42" t="str">
        <f>TESTI!F4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 https://diaridipelle.it/notti-fugaci.html
📕 Cartaceo: https://www.amazon.it/dp/B0GRWP3X7C
📱 Kindle: https://www.amazon.it/dp/B0GRWP6PMK
#DiariDiPelle #NottiFugaci #Parigi #NarrativaContemporanea #LibriItaliani</v>
      </c>
      <c r="Q17" s="64" t="str">
        <f>TESTI!J4</f>
        <v>https://diaridipelle.it/notti-fugaci.html</v>
      </c>
      <c r="R17" s="42" t="s">
        <v>188</v>
      </c>
      <c r="S17" s="60" t="s">
        <v>140</v>
      </c>
      <c r="T17" s="60" t="s">
        <v>124</v>
      </c>
      <c r="U17" s="42" t="s">
        <v>193</v>
      </c>
      <c r="V17" s="42" t="str">
        <f t="shared" si="2"/>
        <v/>
      </c>
    </row>
    <row r="18" ht="78.0" customHeight="1">
      <c r="A18" s="60" t="s">
        <v>517</v>
      </c>
      <c r="B18" s="60">
        <v>2.0</v>
      </c>
      <c r="C18" s="61">
        <f>CAMPAGNE!G4</f>
        <v>46246</v>
      </c>
      <c r="D18" s="62">
        <v>0.75</v>
      </c>
      <c r="E18" s="63">
        <f>CAMPAGNE!H4</f>
        <v>46248</v>
      </c>
      <c r="F18" s="60" t="str">
        <f t="shared" si="1"/>
        <v>Venerdì</v>
      </c>
      <c r="G18" s="62">
        <v>0.8333333333333334</v>
      </c>
      <c r="H18" s="60" t="s">
        <v>213</v>
      </c>
      <c r="I18" s="60" t="s">
        <v>111</v>
      </c>
      <c r="J18" s="42" t="s">
        <v>132</v>
      </c>
      <c r="K18" s="60" t="s">
        <v>201</v>
      </c>
      <c r="L18" s="42" t="s">
        <v>202</v>
      </c>
      <c r="M18" s="42" t="s">
        <v>223</v>
      </c>
      <c r="N18" s="42" t="s">
        <v>264</v>
      </c>
      <c r="O18" s="42" t="s">
        <v>266</v>
      </c>
      <c r="P18" s="42" t="str">
        <f>TESTI!G4</f>
        <v>Parigi gli aveva dato una stanza, una pioggia leggera e una possibilità: smettere di trattenersi.
«Amélie» da Notti Fugaci.
Scopri il libro dal link in bio.
#DiariDiPelle #NottiFugaci #BookTokItalia #LibriTikTok</v>
      </c>
      <c r="Q18" s="64" t="str">
        <f>TESTI!J4</f>
        <v>https://diaridipelle.it/notti-fugaci.html</v>
      </c>
      <c r="R18" s="42" t="s">
        <v>138</v>
      </c>
      <c r="S18" s="60" t="s">
        <v>231</v>
      </c>
      <c r="T18" s="60" t="s">
        <v>124</v>
      </c>
      <c r="U18" s="42" t="s">
        <v>234</v>
      </c>
      <c r="V18" s="42" t="str">
        <f t="shared" si="2"/>
        <v/>
      </c>
    </row>
    <row r="19" ht="78.0" customHeight="1">
      <c r="A19" s="60" t="s">
        <v>532</v>
      </c>
      <c r="B19" s="60">
        <v>2.0</v>
      </c>
      <c r="C19" s="61">
        <f>CAMPAGNE!I4</f>
        <v>46249</v>
      </c>
      <c r="D19" s="62">
        <v>0.4965277777777778</v>
      </c>
      <c r="E19" s="63">
        <f>CAMPAGNE!I4</f>
        <v>46249</v>
      </c>
      <c r="F19" s="60" t="str">
        <f t="shared" si="1"/>
        <v>Sabato</v>
      </c>
      <c r="G19" s="62">
        <v>0.5</v>
      </c>
      <c r="H19" s="60" t="s">
        <v>128</v>
      </c>
      <c r="I19" s="60" t="s">
        <v>170</v>
      </c>
      <c r="J19" s="42" t="s">
        <v>132</v>
      </c>
      <c r="K19" s="60" t="s">
        <v>201</v>
      </c>
      <c r="L19" s="42" t="s">
        <v>202</v>
      </c>
      <c r="M19" s="42" t="s">
        <v>252</v>
      </c>
      <c r="N19" s="42" t="s">
        <v>268</v>
      </c>
      <c r="O19" s="42" t="s">
        <v>538</v>
      </c>
      <c r="P19" s="42" t="str">
        <f>TESTI!N4</f>
        <v>Tocca SCOPRI IL LIBRO e scegli cartaceo o Kindle.</v>
      </c>
      <c r="Q19" s="64" t="str">
        <f>TESTI!H4</f>
        <v>https://diaridipelle.it/notti-fugaci.html?utm_source=instagram&amp;utm_medium=story&amp;utm_campaign=notti_fugaci&amp;utm_content=ch02</v>
      </c>
      <c r="R19" s="42" t="s">
        <v>139</v>
      </c>
      <c r="S19" s="60" t="s">
        <v>79</v>
      </c>
      <c r="T19" s="60" t="s">
        <v>124</v>
      </c>
      <c r="U19" s="42" t="s">
        <v>262</v>
      </c>
      <c r="V19" s="42" t="str">
        <f t="shared" si="2"/>
        <v/>
      </c>
    </row>
    <row r="20" ht="78.0" customHeight="1">
      <c r="A20" s="60" t="s">
        <v>543</v>
      </c>
      <c r="B20" s="60">
        <v>2.0</v>
      </c>
      <c r="C20" s="61">
        <f>CAMPAGNE!F4</f>
        <v>46239</v>
      </c>
      <c r="D20" s="62">
        <v>0.75</v>
      </c>
      <c r="E20" s="63">
        <f>CAMPAGNE!I4</f>
        <v>46249</v>
      </c>
      <c r="F20" s="60" t="str">
        <f t="shared" si="1"/>
        <v>Sabato</v>
      </c>
      <c r="G20" s="62">
        <v>0.5</v>
      </c>
      <c r="H20" s="60" t="s">
        <v>152</v>
      </c>
      <c r="I20" s="60" t="s">
        <v>170</v>
      </c>
      <c r="J20" s="42" t="s">
        <v>132</v>
      </c>
      <c r="K20" s="60" t="s">
        <v>201</v>
      </c>
      <c r="L20" s="42" t="s">
        <v>202</v>
      </c>
      <c r="M20" s="42" t="s">
        <v>285</v>
      </c>
      <c r="N20" s="42" t="s">
        <v>268</v>
      </c>
      <c r="O20" s="42" t="s">
        <v>538</v>
      </c>
      <c r="P20" s="42" t="str">
        <f>TESTI!N4</f>
        <v>Tocca SCOPRI IL LIBRO e scegli cartaceo o Kindle.</v>
      </c>
      <c r="Q20" s="64" t="str">
        <f>TESTI!I4</f>
        <v>https://diaridipelle.it/notti-fugaci.html?utm_source=facebook&amp;utm_medium=story&amp;utm_campaign=notti_fugaci&amp;utm_content=ch02</v>
      </c>
      <c r="R20" s="42" t="s">
        <v>188</v>
      </c>
      <c r="S20" s="60" t="s">
        <v>140</v>
      </c>
      <c r="T20" s="60" t="s">
        <v>124</v>
      </c>
      <c r="U20" s="42" t="s">
        <v>294</v>
      </c>
      <c r="V20" s="42" t="str">
        <f t="shared" si="2"/>
        <v/>
      </c>
    </row>
    <row r="21" ht="78.0" customHeight="1">
      <c r="A21" s="60" t="s">
        <v>559</v>
      </c>
      <c r="B21" s="60">
        <v>2.0</v>
      </c>
      <c r="C21" s="61">
        <f>CAMPAGNE!F4</f>
        <v>46239</v>
      </c>
      <c r="D21" s="62">
        <v>0.75</v>
      </c>
      <c r="E21" s="63">
        <f>CAMPAGNE!J4</f>
        <v>46250</v>
      </c>
      <c r="F21" s="60" t="str">
        <f t="shared" si="1"/>
        <v>Domenica</v>
      </c>
      <c r="G21" s="62">
        <v>0.8333333333333334</v>
      </c>
      <c r="H21" s="60" t="s">
        <v>128</v>
      </c>
      <c r="I21" s="60" t="s">
        <v>119</v>
      </c>
      <c r="J21" s="42" t="s">
        <v>132</v>
      </c>
      <c r="K21" s="60" t="s">
        <v>201</v>
      </c>
      <c r="L21" s="42" t="s">
        <v>202</v>
      </c>
      <c r="M21" s="42" t="s">
        <v>313</v>
      </c>
      <c r="N21" s="42" t="s">
        <v>270</v>
      </c>
      <c r="O21" s="42" t="s">
        <v>316</v>
      </c>
      <c r="P21" s="42" t="str">
        <f>TESTI!E4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#DiariDiPelle #NottiFugaci #Parigi #NarrativaContemporanea #LibriItaliani</v>
      </c>
      <c r="Q21" s="64" t="str">
        <f>TESTI!J4</f>
        <v>https://diaridipelle.it/notti-fugaci.html</v>
      </c>
      <c r="R21" s="42" t="s">
        <v>139</v>
      </c>
      <c r="S21" s="60" t="s">
        <v>140</v>
      </c>
      <c r="T21" s="60" t="s">
        <v>124</v>
      </c>
      <c r="U21" s="42" t="s">
        <v>328</v>
      </c>
      <c r="V21" s="42" t="str">
        <f t="shared" si="2"/>
        <v/>
      </c>
    </row>
    <row r="22" ht="78.0" customHeight="1">
      <c r="A22" s="60" t="s">
        <v>587</v>
      </c>
      <c r="B22" s="60">
        <v>2.0</v>
      </c>
      <c r="C22" s="61">
        <f>CAMPAGNE!F4</f>
        <v>46239</v>
      </c>
      <c r="D22" s="62">
        <v>0.75</v>
      </c>
      <c r="E22" s="63">
        <f>CAMPAGNE!J4</f>
        <v>46250</v>
      </c>
      <c r="F22" s="60" t="str">
        <f t="shared" si="1"/>
        <v>Domenica</v>
      </c>
      <c r="G22" s="62">
        <v>0.8333333333333334</v>
      </c>
      <c r="H22" s="60" t="s">
        <v>152</v>
      </c>
      <c r="I22" s="60" t="s">
        <v>119</v>
      </c>
      <c r="J22" s="42" t="s">
        <v>132</v>
      </c>
      <c r="K22" s="60" t="s">
        <v>201</v>
      </c>
      <c r="L22" s="42" t="s">
        <v>202</v>
      </c>
      <c r="M22" s="42" t="s">
        <v>313</v>
      </c>
      <c r="N22" s="42" t="s">
        <v>270</v>
      </c>
      <c r="O22" s="42" t="s">
        <v>316</v>
      </c>
      <c r="P22" s="42" t="str">
        <f>TESTI!F4</f>
        <v>Parigi gli aveva dato una stanza, una pioggia leggera e una possibilità: smettere di trattenersi.
Con Amélie non ci furono promesse inutili. Solo il tempo tra due respiri, una carbonara all'alba e una porta attraversata per la prima volta.
Il secondo capitolo di Notti Fugaci racconta quando il corpo smette di essere una gabbia e diventa finalmente presenza.
Continua la storia dal link nel profilo. Disponibile in cartaceo e Kindle.
🌐 https://diaridipelle.it/notti-fugaci.html
📕 Cartaceo: https://www.amazon.it/dp/B0GRWP3X7C
📱 Kindle: https://www.amazon.it/dp/B0GRWP6PMK
#DiariDiPelle #NottiFugaci #Parigi #NarrativaContemporanea #LibriItaliani</v>
      </c>
      <c r="Q22" s="64" t="str">
        <f>TESTI!J4</f>
        <v>https://diaridipelle.it/notti-fugaci.html</v>
      </c>
      <c r="R22" s="42" t="s">
        <v>188</v>
      </c>
      <c r="S22" s="60" t="s">
        <v>140</v>
      </c>
      <c r="T22" s="60" t="s">
        <v>124</v>
      </c>
      <c r="U22" s="42" t="s">
        <v>351</v>
      </c>
      <c r="V22" s="42" t="str">
        <f t="shared" si="2"/>
        <v/>
      </c>
    </row>
    <row r="23" ht="78.0" customHeight="1">
      <c r="A23" s="60" t="s">
        <v>603</v>
      </c>
      <c r="B23" s="60">
        <v>2.0</v>
      </c>
      <c r="C23" s="61">
        <f>CAMPAGNE!F5</f>
        <v>46239</v>
      </c>
      <c r="D23" s="62">
        <v>0.75</v>
      </c>
      <c r="E23" s="63">
        <f>CAMPAGNE!H5</f>
        <v>46251</v>
      </c>
      <c r="F23" s="60" t="str">
        <f t="shared" si="1"/>
        <v>Lunedì</v>
      </c>
      <c r="G23" s="62">
        <v>0.8333333333333334</v>
      </c>
      <c r="H23" s="60" t="s">
        <v>128</v>
      </c>
      <c r="I23" s="60" t="s">
        <v>131</v>
      </c>
      <c r="J23" s="42" t="s">
        <v>132</v>
      </c>
      <c r="K23" s="60" t="s">
        <v>214</v>
      </c>
      <c r="L23" s="42" t="s">
        <v>216</v>
      </c>
      <c r="M23" s="42" t="s">
        <v>135</v>
      </c>
      <c r="N23" s="42" t="s">
        <v>296</v>
      </c>
      <c r="O23" s="42" t="s">
        <v>297</v>
      </c>
      <c r="P23" s="42" t="str">
        <f>TESTI!E5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#DiariDiPelle #NottiFugaci #Cicatrici #NarrativaPsicologica #LibriDaLeggere</v>
      </c>
      <c r="Q23" s="64" t="str">
        <f>TESTI!J5</f>
        <v>https://diaridipelle.it/notti-fugaci.html</v>
      </c>
      <c r="R23" s="42" t="s">
        <v>139</v>
      </c>
      <c r="S23" s="60" t="s">
        <v>140</v>
      </c>
      <c r="T23" s="60" t="s">
        <v>124</v>
      </c>
      <c r="U23" s="42" t="s">
        <v>142</v>
      </c>
      <c r="V23" s="42" t="str">
        <f t="shared" si="2"/>
        <v/>
      </c>
    </row>
    <row r="24" ht="78.0" customHeight="1">
      <c r="A24" s="60" t="s">
        <v>615</v>
      </c>
      <c r="B24" s="60">
        <v>2.0</v>
      </c>
      <c r="C24" s="61">
        <f>CAMPAGNE!F5</f>
        <v>46239</v>
      </c>
      <c r="D24" s="62">
        <v>0.75</v>
      </c>
      <c r="E24" s="63">
        <f>CAMPAGNE!H5</f>
        <v>46251</v>
      </c>
      <c r="F24" s="60" t="str">
        <f t="shared" si="1"/>
        <v>Lunedì</v>
      </c>
      <c r="G24" s="62">
        <v>0.8333333333333334</v>
      </c>
      <c r="H24" s="60" t="s">
        <v>152</v>
      </c>
      <c r="I24" s="60" t="s">
        <v>131</v>
      </c>
      <c r="J24" s="42" t="s">
        <v>132</v>
      </c>
      <c r="K24" s="60" t="s">
        <v>214</v>
      </c>
      <c r="L24" s="42" t="s">
        <v>216</v>
      </c>
      <c r="M24" s="42" t="s">
        <v>172</v>
      </c>
      <c r="N24" s="42" t="s">
        <v>296</v>
      </c>
      <c r="O24" s="42" t="s">
        <v>297</v>
      </c>
      <c r="P24" s="42" t="str">
        <f>TESTI!F5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 https://diaridipelle.it/notti-fugaci.html
📕 Cartaceo: https://www.amazon.it/dp/B0GRWP3X7C
📱 Kindle: https://www.amazon.it/dp/B0GRWP6PMK
#DiariDiPelle #NottiFugaci #Cicatrici #NarrativaPsicologica #LibriDaLeggere</v>
      </c>
      <c r="Q24" s="64" t="str">
        <f>TESTI!J5</f>
        <v>https://diaridipelle.it/notti-fugaci.html</v>
      </c>
      <c r="R24" s="42" t="s">
        <v>188</v>
      </c>
      <c r="S24" s="60" t="s">
        <v>140</v>
      </c>
      <c r="T24" s="60" t="s">
        <v>124</v>
      </c>
      <c r="U24" s="42" t="s">
        <v>193</v>
      </c>
      <c r="V24" s="42" t="str">
        <f t="shared" si="2"/>
        <v/>
      </c>
    </row>
    <row r="25" ht="78.0" customHeight="1">
      <c r="A25" s="60" t="s">
        <v>628</v>
      </c>
      <c r="B25" s="60">
        <v>2.0</v>
      </c>
      <c r="C25" s="61">
        <f>CAMPAGNE!G5</f>
        <v>46246</v>
      </c>
      <c r="D25" s="62">
        <v>0.75</v>
      </c>
      <c r="E25" s="63">
        <f>CAMPAGNE!H5</f>
        <v>46251</v>
      </c>
      <c r="F25" s="60" t="str">
        <f t="shared" si="1"/>
        <v>Lunedì</v>
      </c>
      <c r="G25" s="62">
        <v>0.8333333333333334</v>
      </c>
      <c r="H25" s="60" t="s">
        <v>213</v>
      </c>
      <c r="I25" s="60" t="s">
        <v>111</v>
      </c>
      <c r="J25" s="42" t="s">
        <v>132</v>
      </c>
      <c r="K25" s="60" t="s">
        <v>214</v>
      </c>
      <c r="L25" s="42" t="s">
        <v>216</v>
      </c>
      <c r="M25" s="42" t="s">
        <v>223</v>
      </c>
      <c r="N25" s="42" t="s">
        <v>296</v>
      </c>
      <c r="O25" s="42" t="s">
        <v>297</v>
      </c>
      <c r="P25" s="42" t="str">
        <f>TESTI!G5</f>
        <v>Malena non fu la più importante. Fu la prima a lasciare una cicatrice vera.
«Malena» da Notti Fugaci.
Scopri il libro dal link in bio.
#DiariDiPelle #NottiFugaci #BookTokItalia #LibriTikTok</v>
      </c>
      <c r="Q25" s="64" t="str">
        <f>TESTI!J5</f>
        <v>https://diaridipelle.it/notti-fugaci.html</v>
      </c>
      <c r="R25" s="42" t="s">
        <v>138</v>
      </c>
      <c r="S25" s="60" t="s">
        <v>231</v>
      </c>
      <c r="T25" s="60" t="s">
        <v>124</v>
      </c>
      <c r="U25" s="42" t="s">
        <v>234</v>
      </c>
      <c r="V25" s="42" t="str">
        <f t="shared" si="2"/>
        <v/>
      </c>
    </row>
    <row r="26" ht="78.0" customHeight="1">
      <c r="A26" s="60" t="s">
        <v>643</v>
      </c>
      <c r="B26" s="60">
        <v>2.0</v>
      </c>
      <c r="C26" s="61">
        <f>CAMPAGNE!I5</f>
        <v>46252</v>
      </c>
      <c r="D26" s="62">
        <v>0.4965277777777778</v>
      </c>
      <c r="E26" s="63">
        <f>CAMPAGNE!I5</f>
        <v>46252</v>
      </c>
      <c r="F26" s="60" t="str">
        <f t="shared" si="1"/>
        <v>Martedì</v>
      </c>
      <c r="G26" s="62">
        <v>0.5</v>
      </c>
      <c r="H26" s="60" t="s">
        <v>128</v>
      </c>
      <c r="I26" s="60" t="s">
        <v>170</v>
      </c>
      <c r="J26" s="42" t="s">
        <v>132</v>
      </c>
      <c r="K26" s="60" t="s">
        <v>214</v>
      </c>
      <c r="L26" s="42" t="s">
        <v>216</v>
      </c>
      <c r="M26" s="42" t="s">
        <v>252</v>
      </c>
      <c r="N26" s="42" t="s">
        <v>299</v>
      </c>
      <c r="O26" s="42" t="s">
        <v>657</v>
      </c>
      <c r="P26" s="42" t="str">
        <f>TESTI!N5</f>
        <v>Tocca SCOPRI IL LIBRO e scegli cartaceo o Kindle.</v>
      </c>
      <c r="Q26" s="64" t="str">
        <f>TESTI!H5</f>
        <v>https://diaridipelle.it/notti-fugaci.html?utm_source=instagram&amp;utm_medium=story&amp;utm_campaign=notti_fugaci&amp;utm_content=ch03</v>
      </c>
      <c r="R26" s="42" t="s">
        <v>139</v>
      </c>
      <c r="S26" s="60" t="s">
        <v>79</v>
      </c>
      <c r="T26" s="60" t="s">
        <v>124</v>
      </c>
      <c r="U26" s="42" t="s">
        <v>262</v>
      </c>
      <c r="V26" s="42" t="str">
        <f t="shared" si="2"/>
        <v/>
      </c>
    </row>
    <row r="27" ht="78.0" customHeight="1">
      <c r="A27" s="60" t="s">
        <v>658</v>
      </c>
      <c r="B27" s="60">
        <v>2.0</v>
      </c>
      <c r="C27" s="61">
        <f>CAMPAGNE!F5</f>
        <v>46239</v>
      </c>
      <c r="D27" s="62">
        <v>0.75</v>
      </c>
      <c r="E27" s="63">
        <f>CAMPAGNE!I5</f>
        <v>46252</v>
      </c>
      <c r="F27" s="60" t="str">
        <f t="shared" si="1"/>
        <v>Martedì</v>
      </c>
      <c r="G27" s="62">
        <v>0.5</v>
      </c>
      <c r="H27" s="60" t="s">
        <v>152</v>
      </c>
      <c r="I27" s="60" t="s">
        <v>170</v>
      </c>
      <c r="J27" s="42" t="s">
        <v>132</v>
      </c>
      <c r="K27" s="60" t="s">
        <v>214</v>
      </c>
      <c r="L27" s="42" t="s">
        <v>216</v>
      </c>
      <c r="M27" s="42" t="s">
        <v>285</v>
      </c>
      <c r="N27" s="42" t="s">
        <v>299</v>
      </c>
      <c r="O27" s="42" t="s">
        <v>657</v>
      </c>
      <c r="P27" s="42" t="str">
        <f>TESTI!N5</f>
        <v>Tocca SCOPRI IL LIBRO e scegli cartaceo o Kindle.</v>
      </c>
      <c r="Q27" s="64" t="str">
        <f>TESTI!I5</f>
        <v>https://diaridipelle.it/notti-fugaci.html?utm_source=facebook&amp;utm_medium=story&amp;utm_campaign=notti_fugaci&amp;utm_content=ch03</v>
      </c>
      <c r="R27" s="42" t="s">
        <v>188</v>
      </c>
      <c r="S27" s="60" t="s">
        <v>140</v>
      </c>
      <c r="T27" s="60" t="s">
        <v>124</v>
      </c>
      <c r="U27" s="42" t="s">
        <v>294</v>
      </c>
      <c r="V27" s="42" t="str">
        <f t="shared" si="2"/>
        <v/>
      </c>
    </row>
    <row r="28" ht="78.0" customHeight="1">
      <c r="A28" s="60" t="s">
        <v>663</v>
      </c>
      <c r="B28" s="60">
        <v>2.0</v>
      </c>
      <c r="C28" s="61">
        <f>CAMPAGNE!F5</f>
        <v>46239</v>
      </c>
      <c r="D28" s="62">
        <v>0.75</v>
      </c>
      <c r="E28" s="63">
        <f>CAMPAGNE!J5</f>
        <v>46253</v>
      </c>
      <c r="F28" s="60" t="str">
        <f t="shared" si="1"/>
        <v>Mercoledì</v>
      </c>
      <c r="G28" s="62">
        <v>0.4583333333333333</v>
      </c>
      <c r="H28" s="60" t="s">
        <v>128</v>
      </c>
      <c r="I28" s="60" t="s">
        <v>119</v>
      </c>
      <c r="J28" s="42" t="s">
        <v>132</v>
      </c>
      <c r="K28" s="60" t="s">
        <v>214</v>
      </c>
      <c r="L28" s="42" t="s">
        <v>216</v>
      </c>
      <c r="M28" s="42" t="s">
        <v>313</v>
      </c>
      <c r="N28" s="42" t="s">
        <v>302</v>
      </c>
      <c r="O28" s="42" t="s">
        <v>316</v>
      </c>
      <c r="P28" s="42" t="str">
        <f>TESTI!E5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#DiariDiPelle #NottiFugaci #Cicatrici #NarrativaPsicologica #LibriDaLeggere</v>
      </c>
      <c r="Q28" s="64" t="str">
        <f>TESTI!J5</f>
        <v>https://diaridipelle.it/notti-fugaci.html</v>
      </c>
      <c r="R28" s="42" t="s">
        <v>139</v>
      </c>
      <c r="S28" s="60" t="s">
        <v>140</v>
      </c>
      <c r="T28" s="60" t="s">
        <v>124</v>
      </c>
      <c r="U28" s="42" t="s">
        <v>328</v>
      </c>
      <c r="V28" s="42" t="str">
        <f t="shared" si="2"/>
        <v/>
      </c>
    </row>
    <row r="29" ht="78.0" customHeight="1">
      <c r="A29" s="60" t="s">
        <v>668</v>
      </c>
      <c r="B29" s="60">
        <v>2.0</v>
      </c>
      <c r="C29" s="61">
        <f>CAMPAGNE!F5</f>
        <v>46239</v>
      </c>
      <c r="D29" s="62">
        <v>0.75</v>
      </c>
      <c r="E29" s="63">
        <f>CAMPAGNE!J5</f>
        <v>46253</v>
      </c>
      <c r="F29" s="60" t="str">
        <f t="shared" si="1"/>
        <v>Mercoledì</v>
      </c>
      <c r="G29" s="62">
        <v>0.4583333333333333</v>
      </c>
      <c r="H29" s="60" t="s">
        <v>152</v>
      </c>
      <c r="I29" s="60" t="s">
        <v>119</v>
      </c>
      <c r="J29" s="42" t="s">
        <v>132</v>
      </c>
      <c r="K29" s="60" t="s">
        <v>214</v>
      </c>
      <c r="L29" s="42" t="s">
        <v>216</v>
      </c>
      <c r="M29" s="42" t="s">
        <v>313</v>
      </c>
      <c r="N29" s="42" t="s">
        <v>302</v>
      </c>
      <c r="O29" s="42" t="s">
        <v>316</v>
      </c>
      <c r="P29" s="42" t="str">
        <f>TESTI!F5</f>
        <v>Malena non fu la più importante. Fu la prima a lasciare una cicatrice vera.
A Parigi arrivò come una sfida: bellissima, distante, impossibile da ignorare. Ma alcune ossessioni non raccontano chi desideriamo. Raccontano la parte di noi che vuole bruciarsi.
Il terzo capitolo di Notti Fugaci parla della ferita che resta quando cade la storia che avevamo costruito su noi stessi.
Scopri il libro completo dal link nel profilo.
🌐 https://diaridipelle.it/notti-fugaci.html
📕 Cartaceo: https://www.amazon.it/dp/B0GRWP3X7C
📱 Kindle: https://www.amazon.it/dp/B0GRWP6PMK
#DiariDiPelle #NottiFugaci #Cicatrici #NarrativaPsicologica #LibriDaLeggere</v>
      </c>
      <c r="Q29" s="64" t="str">
        <f>TESTI!J5</f>
        <v>https://diaridipelle.it/notti-fugaci.html</v>
      </c>
      <c r="R29" s="42" t="s">
        <v>188</v>
      </c>
      <c r="S29" s="60" t="s">
        <v>140</v>
      </c>
      <c r="T29" s="60" t="s">
        <v>124</v>
      </c>
      <c r="U29" s="42" t="s">
        <v>351</v>
      </c>
      <c r="V29" s="42" t="str">
        <f t="shared" si="2"/>
        <v/>
      </c>
    </row>
    <row r="30" ht="78.0" customHeight="1">
      <c r="A30" s="60" t="s">
        <v>676</v>
      </c>
      <c r="B30" s="60">
        <v>3.0</v>
      </c>
      <c r="C30" s="61">
        <f>CAMPAGNE!F6</f>
        <v>46239</v>
      </c>
      <c r="D30" s="62">
        <v>0.75</v>
      </c>
      <c r="E30" s="63">
        <f>CAMPAGNE!H6</f>
        <v>46255</v>
      </c>
      <c r="F30" s="60" t="str">
        <f t="shared" si="1"/>
        <v>Venerdì</v>
      </c>
      <c r="G30" s="62">
        <v>0.8333333333333334</v>
      </c>
      <c r="H30" s="60" t="s">
        <v>128</v>
      </c>
      <c r="I30" s="60" t="s">
        <v>131</v>
      </c>
      <c r="J30" s="42" t="s">
        <v>132</v>
      </c>
      <c r="K30" s="60" t="s">
        <v>227</v>
      </c>
      <c r="L30" s="42" t="s">
        <v>228</v>
      </c>
      <c r="M30" s="42" t="s">
        <v>135</v>
      </c>
      <c r="N30" s="42" t="s">
        <v>318</v>
      </c>
      <c r="O30" s="42" t="s">
        <v>322</v>
      </c>
      <c r="P30" s="42" t="str">
        <f>TESTI!E6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#DiariDiPelle #NottiFugaci #Barcellona #NarrativaItaliana #StorieDiViaggio</v>
      </c>
      <c r="Q30" s="64" t="str">
        <f>TESTI!J6</f>
        <v>https://diaridipelle.it/notti-fugaci.html</v>
      </c>
      <c r="R30" s="42" t="s">
        <v>139</v>
      </c>
      <c r="S30" s="60" t="s">
        <v>140</v>
      </c>
      <c r="T30" s="60" t="s">
        <v>124</v>
      </c>
      <c r="U30" s="42" t="s">
        <v>142</v>
      </c>
      <c r="V30" s="42" t="str">
        <f t="shared" si="2"/>
        <v/>
      </c>
    </row>
    <row r="31" ht="78.0" customHeight="1">
      <c r="A31" s="60" t="s">
        <v>682</v>
      </c>
      <c r="B31" s="60">
        <v>3.0</v>
      </c>
      <c r="C31" s="61">
        <f>CAMPAGNE!F6</f>
        <v>46239</v>
      </c>
      <c r="D31" s="62">
        <v>0.75</v>
      </c>
      <c r="E31" s="63">
        <f>CAMPAGNE!H6</f>
        <v>46255</v>
      </c>
      <c r="F31" s="60" t="str">
        <f t="shared" si="1"/>
        <v>Venerdì</v>
      </c>
      <c r="G31" s="62">
        <v>0.8333333333333334</v>
      </c>
      <c r="H31" s="60" t="s">
        <v>152</v>
      </c>
      <c r="I31" s="60" t="s">
        <v>131</v>
      </c>
      <c r="J31" s="42" t="s">
        <v>132</v>
      </c>
      <c r="K31" s="60" t="s">
        <v>227</v>
      </c>
      <c r="L31" s="42" t="s">
        <v>228</v>
      </c>
      <c r="M31" s="42" t="s">
        <v>172</v>
      </c>
      <c r="N31" s="42" t="s">
        <v>318</v>
      </c>
      <c r="O31" s="42" t="s">
        <v>322</v>
      </c>
      <c r="P31" s="42" t="str">
        <f>TESTI!F6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 https://diaridipelle.it/notti-fugaci.html
📕 Cartaceo: https://www.amazon.it/dp/B0GRWP3X7C
📱 Kindle: https://www.amazon.it/dp/B0GRWP6PMK
#DiariDiPelle #NottiFugaci #Barcellona #NarrativaItaliana #StorieDiViaggio</v>
      </c>
      <c r="Q31" s="64" t="str">
        <f>TESTI!J6</f>
        <v>https://diaridipelle.it/notti-fugaci.html</v>
      </c>
      <c r="R31" s="42" t="s">
        <v>188</v>
      </c>
      <c r="S31" s="60" t="s">
        <v>140</v>
      </c>
      <c r="T31" s="60" t="s">
        <v>124</v>
      </c>
      <c r="U31" s="42" t="s">
        <v>193</v>
      </c>
      <c r="V31" s="42" t="str">
        <f t="shared" si="2"/>
        <v/>
      </c>
    </row>
    <row r="32" ht="78.0" customHeight="1">
      <c r="A32" s="60" t="s">
        <v>687</v>
      </c>
      <c r="B32" s="60">
        <v>3.0</v>
      </c>
      <c r="C32" s="61">
        <f>CAMPAGNE!G6</f>
        <v>46253</v>
      </c>
      <c r="D32" s="62">
        <v>0.75</v>
      </c>
      <c r="E32" s="63">
        <f>CAMPAGNE!H6</f>
        <v>46255</v>
      </c>
      <c r="F32" s="60" t="str">
        <f t="shared" si="1"/>
        <v>Venerdì</v>
      </c>
      <c r="G32" s="62">
        <v>0.8333333333333334</v>
      </c>
      <c r="H32" s="60" t="s">
        <v>213</v>
      </c>
      <c r="I32" s="60" t="s">
        <v>111</v>
      </c>
      <c r="J32" s="42" t="s">
        <v>132</v>
      </c>
      <c r="K32" s="60" t="s">
        <v>227</v>
      </c>
      <c r="L32" s="42" t="s">
        <v>228</v>
      </c>
      <c r="M32" s="42" t="s">
        <v>223</v>
      </c>
      <c r="N32" s="42" t="s">
        <v>318</v>
      </c>
      <c r="O32" s="42" t="s">
        <v>322</v>
      </c>
      <c r="P32" s="42" t="str">
        <f>TESTI!G6</f>
        <v>Dopo Malena, Parigi si era ristretta. Barcellona, invece, sembrava non avere pareti.
«L'Irlandese» da Notti Fugaci.
Scopri il libro dal link in bio.
#DiariDiPelle #NottiFugaci #BookTokItalia #LibriTikTok</v>
      </c>
      <c r="Q32" s="64" t="str">
        <f>TESTI!J6</f>
        <v>https://diaridipelle.it/notti-fugaci.html</v>
      </c>
      <c r="R32" s="42" t="s">
        <v>138</v>
      </c>
      <c r="S32" s="60" t="s">
        <v>231</v>
      </c>
      <c r="T32" s="60" t="s">
        <v>124</v>
      </c>
      <c r="U32" s="42" t="s">
        <v>234</v>
      </c>
      <c r="V32" s="42" t="str">
        <f t="shared" si="2"/>
        <v/>
      </c>
    </row>
    <row r="33" ht="78.0" customHeight="1">
      <c r="A33" s="60" t="s">
        <v>692</v>
      </c>
      <c r="B33" s="60">
        <v>3.0</v>
      </c>
      <c r="C33" s="61">
        <f>CAMPAGNE!I6</f>
        <v>46256</v>
      </c>
      <c r="D33" s="62">
        <v>0.4965277777777778</v>
      </c>
      <c r="E33" s="63">
        <f>CAMPAGNE!I6</f>
        <v>46256</v>
      </c>
      <c r="F33" s="60" t="str">
        <f t="shared" si="1"/>
        <v>Sabato</v>
      </c>
      <c r="G33" s="62">
        <v>0.5</v>
      </c>
      <c r="H33" s="60" t="s">
        <v>128</v>
      </c>
      <c r="I33" s="60" t="s">
        <v>170</v>
      </c>
      <c r="J33" s="42" t="s">
        <v>132</v>
      </c>
      <c r="K33" s="60" t="s">
        <v>227</v>
      </c>
      <c r="L33" s="42" t="s">
        <v>228</v>
      </c>
      <c r="M33" s="42" t="s">
        <v>252</v>
      </c>
      <c r="N33" s="42" t="s">
        <v>323</v>
      </c>
      <c r="O33" s="42" t="s">
        <v>693</v>
      </c>
      <c r="P33" s="42" t="str">
        <f>TESTI!N6</f>
        <v>Tocca SCOPRI IL LIBRO e scegli cartaceo o Kindle.</v>
      </c>
      <c r="Q33" s="64" t="str">
        <f>TESTI!H6</f>
        <v>https://diaridipelle.it/notti-fugaci.html?utm_source=instagram&amp;utm_medium=story&amp;utm_campaign=notti_fugaci&amp;utm_content=ch04</v>
      </c>
      <c r="R33" s="42" t="s">
        <v>139</v>
      </c>
      <c r="S33" s="60" t="s">
        <v>79</v>
      </c>
      <c r="T33" s="60" t="s">
        <v>124</v>
      </c>
      <c r="U33" s="42" t="s">
        <v>262</v>
      </c>
      <c r="V33" s="42" t="str">
        <f t="shared" si="2"/>
        <v/>
      </c>
    </row>
    <row r="34" ht="78.0" customHeight="1">
      <c r="A34" s="60" t="s">
        <v>694</v>
      </c>
      <c r="B34" s="60">
        <v>3.0</v>
      </c>
      <c r="C34" s="61">
        <f>CAMPAGNE!F6</f>
        <v>46239</v>
      </c>
      <c r="D34" s="62">
        <v>0.75</v>
      </c>
      <c r="E34" s="63">
        <f>CAMPAGNE!I6</f>
        <v>46256</v>
      </c>
      <c r="F34" s="60" t="str">
        <f t="shared" si="1"/>
        <v>Sabato</v>
      </c>
      <c r="G34" s="62">
        <v>0.5</v>
      </c>
      <c r="H34" s="60" t="s">
        <v>152</v>
      </c>
      <c r="I34" s="60" t="s">
        <v>170</v>
      </c>
      <c r="J34" s="42" t="s">
        <v>132</v>
      </c>
      <c r="K34" s="60" t="s">
        <v>227</v>
      </c>
      <c r="L34" s="42" t="s">
        <v>228</v>
      </c>
      <c r="M34" s="42" t="s">
        <v>285</v>
      </c>
      <c r="N34" s="42" t="s">
        <v>323</v>
      </c>
      <c r="O34" s="42" t="s">
        <v>693</v>
      </c>
      <c r="P34" s="42" t="str">
        <f>TESTI!N6</f>
        <v>Tocca SCOPRI IL LIBRO e scegli cartaceo o Kindle.</v>
      </c>
      <c r="Q34" s="64" t="str">
        <f>TESTI!I6</f>
        <v>https://diaridipelle.it/notti-fugaci.html?utm_source=facebook&amp;utm_medium=story&amp;utm_campaign=notti_fugaci&amp;utm_content=ch04</v>
      </c>
      <c r="R34" s="42" t="s">
        <v>188</v>
      </c>
      <c r="S34" s="60" t="s">
        <v>140</v>
      </c>
      <c r="T34" s="60" t="s">
        <v>124</v>
      </c>
      <c r="U34" s="42" t="s">
        <v>294</v>
      </c>
      <c r="V34" s="42" t="str">
        <f t="shared" si="2"/>
        <v/>
      </c>
    </row>
    <row r="35" ht="78.0" customHeight="1">
      <c r="A35" s="60" t="s">
        <v>695</v>
      </c>
      <c r="B35" s="60">
        <v>3.0</v>
      </c>
      <c r="C35" s="61">
        <f>CAMPAGNE!F6</f>
        <v>46239</v>
      </c>
      <c r="D35" s="62">
        <v>0.75</v>
      </c>
      <c r="E35" s="63">
        <f>CAMPAGNE!J6</f>
        <v>46257</v>
      </c>
      <c r="F35" s="60" t="str">
        <f t="shared" si="1"/>
        <v>Domenica</v>
      </c>
      <c r="G35" s="62">
        <v>0.8333333333333334</v>
      </c>
      <c r="H35" s="60" t="s">
        <v>128</v>
      </c>
      <c r="I35" s="60" t="s">
        <v>119</v>
      </c>
      <c r="J35" s="42" t="s">
        <v>132</v>
      </c>
      <c r="K35" s="60" t="s">
        <v>227</v>
      </c>
      <c r="L35" s="42" t="s">
        <v>228</v>
      </c>
      <c r="M35" s="42" t="s">
        <v>313</v>
      </c>
      <c r="N35" s="42" t="s">
        <v>325</v>
      </c>
      <c r="O35" s="42" t="s">
        <v>316</v>
      </c>
      <c r="P35" s="42" t="str">
        <f>TESTI!E6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#DiariDiPelle #NottiFugaci #Barcellona #NarrativaItaliana #StorieDiViaggio</v>
      </c>
      <c r="Q35" s="64" t="str">
        <f>TESTI!J6</f>
        <v>https://diaridipelle.it/notti-fugaci.html</v>
      </c>
      <c r="R35" s="42" t="s">
        <v>139</v>
      </c>
      <c r="S35" s="60" t="s">
        <v>140</v>
      </c>
      <c r="T35" s="60" t="s">
        <v>124</v>
      </c>
      <c r="U35" s="42" t="s">
        <v>328</v>
      </c>
      <c r="V35" s="42" t="str">
        <f t="shared" si="2"/>
        <v/>
      </c>
    </row>
    <row r="36" ht="78.0" customHeight="1">
      <c r="A36" s="60" t="s">
        <v>696</v>
      </c>
      <c r="B36" s="60">
        <v>3.0</v>
      </c>
      <c r="C36" s="61">
        <f>CAMPAGNE!F6</f>
        <v>46239</v>
      </c>
      <c r="D36" s="62">
        <v>0.75</v>
      </c>
      <c r="E36" s="63">
        <f>CAMPAGNE!J6</f>
        <v>46257</v>
      </c>
      <c r="F36" s="60" t="str">
        <f t="shared" si="1"/>
        <v>Domenica</v>
      </c>
      <c r="G36" s="62">
        <v>0.8333333333333334</v>
      </c>
      <c r="H36" s="60" t="s">
        <v>152</v>
      </c>
      <c r="I36" s="60" t="s">
        <v>119</v>
      </c>
      <c r="J36" s="42" t="s">
        <v>132</v>
      </c>
      <c r="K36" s="60" t="s">
        <v>227</v>
      </c>
      <c r="L36" s="42" t="s">
        <v>228</v>
      </c>
      <c r="M36" s="42" t="s">
        <v>313</v>
      </c>
      <c r="N36" s="42" t="s">
        <v>325</v>
      </c>
      <c r="O36" s="42" t="s">
        <v>316</v>
      </c>
      <c r="P36" s="42" t="str">
        <f>TESTI!F6</f>
        <v>Dopo Malena, Parigi si era ristretta. Barcellona, invece, sembrava non avere pareti.
Nel dedalo del Barrio Gótico, una sconosciuta e una notte senza tenerezza diventano uno specchio: non più il bravo ragazzo, non più il martire ferito, ma qualcuno che deve ancora capire chi è diventato.
«L'Irlandese» è il primo giorno di una settimana che non sarà turismo.
Entra nel mondo di Notti Fugaci dal link nel profilo.
🌐 https://diaridipelle.it/notti-fugaci.html
📕 Cartaceo: https://www.amazon.it/dp/B0GRWP3X7C
📱 Kindle: https://www.amazon.it/dp/B0GRWP6PMK
#DiariDiPelle #NottiFugaci #Barcellona #NarrativaItaliana #StorieDiViaggio</v>
      </c>
      <c r="Q36" s="64" t="str">
        <f>TESTI!J6</f>
        <v>https://diaridipelle.it/notti-fugaci.html</v>
      </c>
      <c r="R36" s="42" t="s">
        <v>188</v>
      </c>
      <c r="S36" s="60" t="s">
        <v>140</v>
      </c>
      <c r="T36" s="60" t="s">
        <v>124</v>
      </c>
      <c r="U36" s="42" t="s">
        <v>351</v>
      </c>
      <c r="V36" s="42" t="str">
        <f t="shared" si="2"/>
        <v/>
      </c>
    </row>
    <row r="37" ht="78.0" customHeight="1">
      <c r="A37" s="60" t="s">
        <v>697</v>
      </c>
      <c r="B37" s="60">
        <v>3.0</v>
      </c>
      <c r="C37" s="61">
        <f>CAMPAGNE!F7</f>
        <v>46239</v>
      </c>
      <c r="D37" s="62">
        <v>0.75</v>
      </c>
      <c r="E37" s="63">
        <f>CAMPAGNE!H7</f>
        <v>46258</v>
      </c>
      <c r="F37" s="60" t="str">
        <f t="shared" si="1"/>
        <v>Lunedì</v>
      </c>
      <c r="G37" s="62">
        <v>0.8333333333333334</v>
      </c>
      <c r="H37" s="60" t="s">
        <v>128</v>
      </c>
      <c r="I37" s="60" t="s">
        <v>131</v>
      </c>
      <c r="J37" s="42" t="s">
        <v>132</v>
      </c>
      <c r="K37" s="60" t="s">
        <v>243</v>
      </c>
      <c r="L37" s="42" t="s">
        <v>244</v>
      </c>
      <c r="M37" s="42" t="s">
        <v>135</v>
      </c>
      <c r="N37" s="42" t="s">
        <v>346</v>
      </c>
      <c r="O37" s="42" t="s">
        <v>348</v>
      </c>
      <c r="P37" s="42" t="str">
        <f>TESTI!E7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#DiariDiPelle #NottiFugaci #Barcellona #RaccontiContemporanei #LibriItaliani</v>
      </c>
      <c r="Q37" s="64" t="str">
        <f>TESTI!J7</f>
        <v>https://diaridipelle.it/notti-fugaci.html</v>
      </c>
      <c r="R37" s="42" t="s">
        <v>139</v>
      </c>
      <c r="S37" s="60" t="s">
        <v>140</v>
      </c>
      <c r="T37" s="60" t="s">
        <v>124</v>
      </c>
      <c r="U37" s="42" t="s">
        <v>142</v>
      </c>
      <c r="V37" s="42" t="str">
        <f t="shared" si="2"/>
        <v/>
      </c>
    </row>
    <row r="38" ht="78.0" customHeight="1">
      <c r="A38" s="60" t="s">
        <v>698</v>
      </c>
      <c r="B38" s="60">
        <v>3.0</v>
      </c>
      <c r="C38" s="61">
        <f>CAMPAGNE!F7</f>
        <v>46239</v>
      </c>
      <c r="D38" s="62">
        <v>0.75</v>
      </c>
      <c r="E38" s="63">
        <f>CAMPAGNE!H7</f>
        <v>46258</v>
      </c>
      <c r="F38" s="60" t="str">
        <f t="shared" si="1"/>
        <v>Lunedì</v>
      </c>
      <c r="G38" s="62">
        <v>0.8333333333333334</v>
      </c>
      <c r="H38" s="60" t="s">
        <v>152</v>
      </c>
      <c r="I38" s="60" t="s">
        <v>131</v>
      </c>
      <c r="J38" s="42" t="s">
        <v>132</v>
      </c>
      <c r="K38" s="60" t="s">
        <v>243</v>
      </c>
      <c r="L38" s="42" t="s">
        <v>244</v>
      </c>
      <c r="M38" s="42" t="s">
        <v>172</v>
      </c>
      <c r="N38" s="42" t="s">
        <v>346</v>
      </c>
      <c r="O38" s="42" t="s">
        <v>348</v>
      </c>
      <c r="P38" s="42" t="str">
        <f>TESTI!F7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 https://diaridipelle.it/notti-fugaci.html
📕 Cartaceo: https://www.amazon.it/dp/B0GRWP3X7C
📱 Kindle: https://www.amazon.it/dp/B0GRWP6PMK
#DiariDiPelle #NottiFugaci #Barcellona #RaccontiContemporanei #LibriItaliani</v>
      </c>
      <c r="Q38" s="64" t="str">
        <f>TESTI!J7</f>
        <v>https://diaridipelle.it/notti-fugaci.html</v>
      </c>
      <c r="R38" s="42" t="s">
        <v>188</v>
      </c>
      <c r="S38" s="60" t="s">
        <v>140</v>
      </c>
      <c r="T38" s="60" t="s">
        <v>124</v>
      </c>
      <c r="U38" s="42" t="s">
        <v>193</v>
      </c>
      <c r="V38" s="42" t="str">
        <f t="shared" si="2"/>
        <v/>
      </c>
    </row>
    <row r="39" ht="78.0" customHeight="1">
      <c r="A39" s="60" t="s">
        <v>699</v>
      </c>
      <c r="B39" s="60">
        <v>3.0</v>
      </c>
      <c r="C39" s="61">
        <f>CAMPAGNE!G7</f>
        <v>46253</v>
      </c>
      <c r="D39" s="62">
        <v>0.75</v>
      </c>
      <c r="E39" s="63">
        <f>CAMPAGNE!H7</f>
        <v>46258</v>
      </c>
      <c r="F39" s="60" t="str">
        <f t="shared" si="1"/>
        <v>Lunedì</v>
      </c>
      <c r="G39" s="62">
        <v>0.8333333333333334</v>
      </c>
      <c r="H39" s="60" t="s">
        <v>213</v>
      </c>
      <c r="I39" s="60" t="s">
        <v>111</v>
      </c>
      <c r="J39" s="42" t="s">
        <v>132</v>
      </c>
      <c r="K39" s="60" t="s">
        <v>243</v>
      </c>
      <c r="L39" s="42" t="s">
        <v>244</v>
      </c>
      <c r="M39" s="42" t="s">
        <v>223</v>
      </c>
      <c r="N39" s="42" t="s">
        <v>346</v>
      </c>
      <c r="O39" s="42" t="s">
        <v>348</v>
      </c>
      <c r="P39" s="42" t="str">
        <f>TESTI!G7</f>
        <v>La Boqueria, il rumore dei bicchieri, un bagno chiuso dall'interno e una città che non chiede spiegazioni.
«Tu vuò fa' l'American» da Notti Fugaci.
Scopri il libro dal link in bio.
#DiariDiPelle #NottiFugaci #BookTokItalia #LibriTikTok</v>
      </c>
      <c r="Q39" s="64" t="str">
        <f>TESTI!J7</f>
        <v>https://diaridipelle.it/notti-fugaci.html</v>
      </c>
      <c r="R39" s="42" t="s">
        <v>138</v>
      </c>
      <c r="S39" s="60" t="s">
        <v>231</v>
      </c>
      <c r="T39" s="60" t="s">
        <v>124</v>
      </c>
      <c r="U39" s="42" t="s">
        <v>234</v>
      </c>
      <c r="V39" s="42" t="str">
        <f t="shared" si="2"/>
        <v/>
      </c>
    </row>
    <row r="40" ht="78.0" customHeight="1">
      <c r="A40" s="60" t="s">
        <v>700</v>
      </c>
      <c r="B40" s="60">
        <v>3.0</v>
      </c>
      <c r="C40" s="61">
        <f>CAMPAGNE!I7</f>
        <v>46259</v>
      </c>
      <c r="D40" s="62">
        <v>0.4965277777777778</v>
      </c>
      <c r="E40" s="63">
        <f>CAMPAGNE!I7</f>
        <v>46259</v>
      </c>
      <c r="F40" s="60" t="str">
        <f t="shared" si="1"/>
        <v>Martedì</v>
      </c>
      <c r="G40" s="62">
        <v>0.5</v>
      </c>
      <c r="H40" s="60" t="s">
        <v>128</v>
      </c>
      <c r="I40" s="60" t="s">
        <v>170</v>
      </c>
      <c r="J40" s="42" t="s">
        <v>132</v>
      </c>
      <c r="K40" s="60" t="s">
        <v>243</v>
      </c>
      <c r="L40" s="42" t="s">
        <v>244</v>
      </c>
      <c r="M40" s="42" t="s">
        <v>252</v>
      </c>
      <c r="N40" s="42" t="s">
        <v>349</v>
      </c>
      <c r="O40" s="42" t="s">
        <v>701</v>
      </c>
      <c r="P40" s="42" t="str">
        <f>TESTI!N7</f>
        <v>Tocca SCOPRI IL LIBRO e scegli cartaceo o Kindle.</v>
      </c>
      <c r="Q40" s="64" t="str">
        <f>TESTI!H7</f>
        <v>https://diaridipelle.it/notti-fugaci.html?utm_source=instagram&amp;utm_medium=story&amp;utm_campaign=notti_fugaci&amp;utm_content=ch05</v>
      </c>
      <c r="R40" s="42" t="s">
        <v>139</v>
      </c>
      <c r="S40" s="60" t="s">
        <v>79</v>
      </c>
      <c r="T40" s="60" t="s">
        <v>124</v>
      </c>
      <c r="U40" s="42" t="s">
        <v>262</v>
      </c>
      <c r="V40" s="42" t="str">
        <f t="shared" si="2"/>
        <v/>
      </c>
    </row>
    <row r="41" ht="78.0" customHeight="1">
      <c r="A41" s="60" t="s">
        <v>702</v>
      </c>
      <c r="B41" s="60">
        <v>3.0</v>
      </c>
      <c r="C41" s="61">
        <f>CAMPAGNE!F7</f>
        <v>46239</v>
      </c>
      <c r="D41" s="62">
        <v>0.75</v>
      </c>
      <c r="E41" s="63">
        <f>CAMPAGNE!I7</f>
        <v>46259</v>
      </c>
      <c r="F41" s="60" t="str">
        <f t="shared" si="1"/>
        <v>Martedì</v>
      </c>
      <c r="G41" s="62">
        <v>0.5</v>
      </c>
      <c r="H41" s="60" t="s">
        <v>152</v>
      </c>
      <c r="I41" s="60" t="s">
        <v>170</v>
      </c>
      <c r="J41" s="42" t="s">
        <v>132</v>
      </c>
      <c r="K41" s="60" t="s">
        <v>243</v>
      </c>
      <c r="L41" s="42" t="s">
        <v>244</v>
      </c>
      <c r="M41" s="42" t="s">
        <v>285</v>
      </c>
      <c r="N41" s="42" t="s">
        <v>349</v>
      </c>
      <c r="O41" s="42" t="s">
        <v>701</v>
      </c>
      <c r="P41" s="42" t="str">
        <f>TESTI!N7</f>
        <v>Tocca SCOPRI IL LIBRO e scegli cartaceo o Kindle.</v>
      </c>
      <c r="Q41" s="64" t="str">
        <f>TESTI!I7</f>
        <v>https://diaridipelle.it/notti-fugaci.html?utm_source=facebook&amp;utm_medium=story&amp;utm_campaign=notti_fugaci&amp;utm_content=ch05</v>
      </c>
      <c r="R41" s="42" t="s">
        <v>188</v>
      </c>
      <c r="S41" s="60" t="s">
        <v>140</v>
      </c>
      <c r="T41" s="60" t="s">
        <v>124</v>
      </c>
      <c r="U41" s="42" t="s">
        <v>294</v>
      </c>
      <c r="V41" s="42" t="str">
        <f t="shared" si="2"/>
        <v/>
      </c>
    </row>
    <row r="42" ht="78.0" customHeight="1">
      <c r="A42" s="60" t="s">
        <v>703</v>
      </c>
      <c r="B42" s="60">
        <v>3.0</v>
      </c>
      <c r="C42" s="61">
        <f>CAMPAGNE!F7</f>
        <v>46239</v>
      </c>
      <c r="D42" s="62">
        <v>0.75</v>
      </c>
      <c r="E42" s="63">
        <f>CAMPAGNE!J7</f>
        <v>46260</v>
      </c>
      <c r="F42" s="60" t="str">
        <f t="shared" si="1"/>
        <v>Mercoledì</v>
      </c>
      <c r="G42" s="62">
        <v>0.4583333333333333</v>
      </c>
      <c r="H42" s="60" t="s">
        <v>128</v>
      </c>
      <c r="I42" s="60" t="s">
        <v>119</v>
      </c>
      <c r="J42" s="42" t="s">
        <v>132</v>
      </c>
      <c r="K42" s="60" t="s">
        <v>243</v>
      </c>
      <c r="L42" s="42" t="s">
        <v>244</v>
      </c>
      <c r="M42" s="42" t="s">
        <v>313</v>
      </c>
      <c r="N42" s="42" t="s">
        <v>350</v>
      </c>
      <c r="O42" s="42" t="s">
        <v>316</v>
      </c>
      <c r="P42" s="42" t="str">
        <f>TESTI!E7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#DiariDiPelle #NottiFugaci #Barcellona #RaccontiContemporanei #LibriItaliani</v>
      </c>
      <c r="Q42" s="64" t="str">
        <f>TESTI!J7</f>
        <v>https://diaridipelle.it/notti-fugaci.html</v>
      </c>
      <c r="R42" s="42" t="s">
        <v>139</v>
      </c>
      <c r="S42" s="60" t="s">
        <v>140</v>
      </c>
      <c r="T42" s="60" t="s">
        <v>124</v>
      </c>
      <c r="U42" s="42" t="s">
        <v>328</v>
      </c>
      <c r="V42" s="42" t="str">
        <f t="shared" si="2"/>
        <v/>
      </c>
    </row>
    <row r="43" ht="78.0" customHeight="1">
      <c r="A43" s="60" t="s">
        <v>704</v>
      </c>
      <c r="B43" s="60">
        <v>3.0</v>
      </c>
      <c r="C43" s="61">
        <f>CAMPAGNE!F7</f>
        <v>46239</v>
      </c>
      <c r="D43" s="62">
        <v>0.75</v>
      </c>
      <c r="E43" s="63">
        <f>CAMPAGNE!J7</f>
        <v>46260</v>
      </c>
      <c r="F43" s="60" t="str">
        <f t="shared" si="1"/>
        <v>Mercoledì</v>
      </c>
      <c r="G43" s="62">
        <v>0.4583333333333333</v>
      </c>
      <c r="H43" s="60" t="s">
        <v>152</v>
      </c>
      <c r="I43" s="60" t="s">
        <v>119</v>
      </c>
      <c r="J43" s="42" t="s">
        <v>132</v>
      </c>
      <c r="K43" s="60" t="s">
        <v>243</v>
      </c>
      <c r="L43" s="42" t="s">
        <v>244</v>
      </c>
      <c r="M43" s="42" t="s">
        <v>313</v>
      </c>
      <c r="N43" s="42" t="s">
        <v>350</v>
      </c>
      <c r="O43" s="42" t="s">
        <v>316</v>
      </c>
      <c r="P43" s="42" t="str">
        <f>TESTI!F7</f>
        <v>La Boqueria, il rumore dei bicchieri, un bagno chiuso dall'interno e una città che non chiede spiegazioni.
Nel secondo giorno a Barcellona tutto sembra accadere prima che qualcuno possa dargli un nome. Perché certe notti non hanno una destinazione: hanno soltanto una direzione.
«Tu vuò fa' l'American» è il quinto capitolo di Notti Fugaci.
Leggi la storia completa dal link nel profilo. Cartaceo e Kindle.
🌐 https://diaridipelle.it/notti-fugaci.html
📕 Cartaceo: https://www.amazon.it/dp/B0GRWP3X7C
📱 Kindle: https://www.amazon.it/dp/B0GRWP6PMK
#DiariDiPelle #NottiFugaci #Barcellona #RaccontiContemporanei #LibriItaliani</v>
      </c>
      <c r="Q43" s="64" t="str">
        <f>TESTI!J7</f>
        <v>https://diaridipelle.it/notti-fugaci.html</v>
      </c>
      <c r="R43" s="42" t="s">
        <v>188</v>
      </c>
      <c r="S43" s="60" t="s">
        <v>140</v>
      </c>
      <c r="T43" s="60" t="s">
        <v>124</v>
      </c>
      <c r="U43" s="42" t="s">
        <v>351</v>
      </c>
      <c r="V43" s="42" t="str">
        <f t="shared" si="2"/>
        <v/>
      </c>
    </row>
    <row r="44" ht="78.0" customHeight="1">
      <c r="A44" s="60" t="s">
        <v>705</v>
      </c>
      <c r="B44" s="60">
        <v>4.0</v>
      </c>
      <c r="C44" s="61">
        <f>CAMPAGNE!F8</f>
        <v>46239</v>
      </c>
      <c r="D44" s="62">
        <v>0.75</v>
      </c>
      <c r="E44" s="63">
        <f>CAMPAGNE!H8</f>
        <v>46262</v>
      </c>
      <c r="F44" s="60" t="str">
        <f t="shared" si="1"/>
        <v>Venerdì</v>
      </c>
      <c r="G44" s="62">
        <v>0.8333333333333334</v>
      </c>
      <c r="H44" s="60" t="s">
        <v>128</v>
      </c>
      <c r="I44" s="60" t="s">
        <v>131</v>
      </c>
      <c r="J44" s="42" t="s">
        <v>132</v>
      </c>
      <c r="K44" s="60" t="s">
        <v>256</v>
      </c>
      <c r="L44" s="42" t="s">
        <v>257</v>
      </c>
      <c r="M44" s="42" t="s">
        <v>135</v>
      </c>
      <c r="N44" s="42" t="s">
        <v>363</v>
      </c>
      <c r="O44" s="42" t="s">
        <v>364</v>
      </c>
      <c r="P44" s="42" t="str">
        <f>TESTI!E8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#DiariDiPelle #NottiFugaci #Helena #NarrativaContemporanea #LibriDaLeggere</v>
      </c>
      <c r="Q44" s="64" t="str">
        <f>TESTI!J8</f>
        <v>https://diaridipelle.it/notti-fugaci.html</v>
      </c>
      <c r="R44" s="42" t="s">
        <v>139</v>
      </c>
      <c r="S44" s="60" t="s">
        <v>140</v>
      </c>
      <c r="T44" s="60" t="s">
        <v>124</v>
      </c>
      <c r="U44" s="42" t="s">
        <v>142</v>
      </c>
      <c r="V44" s="42" t="str">
        <f t="shared" si="2"/>
        <v/>
      </c>
    </row>
    <row r="45" ht="78.0" customHeight="1">
      <c r="A45" s="60" t="s">
        <v>706</v>
      </c>
      <c r="B45" s="60">
        <v>4.0</v>
      </c>
      <c r="C45" s="61">
        <f>CAMPAGNE!F8</f>
        <v>46239</v>
      </c>
      <c r="D45" s="62">
        <v>0.75</v>
      </c>
      <c r="E45" s="63">
        <f>CAMPAGNE!H8</f>
        <v>46262</v>
      </c>
      <c r="F45" s="60" t="str">
        <f t="shared" si="1"/>
        <v>Venerdì</v>
      </c>
      <c r="G45" s="62">
        <v>0.8333333333333334</v>
      </c>
      <c r="H45" s="60" t="s">
        <v>152</v>
      </c>
      <c r="I45" s="60" t="s">
        <v>131</v>
      </c>
      <c r="J45" s="42" t="s">
        <v>132</v>
      </c>
      <c r="K45" s="60" t="s">
        <v>256</v>
      </c>
      <c r="L45" s="42" t="s">
        <v>257</v>
      </c>
      <c r="M45" s="42" t="s">
        <v>172</v>
      </c>
      <c r="N45" s="42" t="s">
        <v>363</v>
      </c>
      <c r="O45" s="42" t="s">
        <v>364</v>
      </c>
      <c r="P45" s="42" t="str">
        <f>TESTI!F8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 https://diaridipelle.it/notti-fugaci.html
📕 Cartaceo: https://www.amazon.it/dp/B0GRWP3X7C
📱 Kindle: https://www.amazon.it/dp/B0GRWP6PMK
#DiariDiPelle #NottiFugaci #Helena #NarrativaContemporanea #LibriDaLeggere</v>
      </c>
      <c r="Q45" s="64" t="str">
        <f>TESTI!J8</f>
        <v>https://diaridipelle.it/notti-fugaci.html</v>
      </c>
      <c r="R45" s="42" t="s">
        <v>188</v>
      </c>
      <c r="S45" s="60" t="s">
        <v>140</v>
      </c>
      <c r="T45" s="60" t="s">
        <v>124</v>
      </c>
      <c r="U45" s="42" t="s">
        <v>193</v>
      </c>
      <c r="V45" s="42" t="str">
        <f t="shared" si="2"/>
        <v/>
      </c>
    </row>
    <row r="46" ht="78.0" customHeight="1">
      <c r="A46" s="60" t="s">
        <v>707</v>
      </c>
      <c r="B46" s="60">
        <v>4.0</v>
      </c>
      <c r="C46" s="61">
        <f>CAMPAGNE!G8</f>
        <v>46260</v>
      </c>
      <c r="D46" s="62">
        <v>0.75</v>
      </c>
      <c r="E46" s="63">
        <f>CAMPAGNE!H8</f>
        <v>46262</v>
      </c>
      <c r="F46" s="60" t="str">
        <f t="shared" si="1"/>
        <v>Venerdì</v>
      </c>
      <c r="G46" s="62">
        <v>0.8333333333333334</v>
      </c>
      <c r="H46" s="60" t="s">
        <v>213</v>
      </c>
      <c r="I46" s="60" t="s">
        <v>111</v>
      </c>
      <c r="J46" s="42" t="s">
        <v>132</v>
      </c>
      <c r="K46" s="60" t="s">
        <v>256</v>
      </c>
      <c r="L46" s="42" t="s">
        <v>257</v>
      </c>
      <c r="M46" s="42" t="s">
        <v>223</v>
      </c>
      <c r="N46" s="42" t="s">
        <v>363</v>
      </c>
      <c r="O46" s="42" t="s">
        <v>364</v>
      </c>
      <c r="P46" s="42" t="str">
        <f>TESTI!G8</f>
        <v>Helena si era sposata troppo giovane. Cercava una prova: sapere che si può cambiare anche quando sembra tardi.
«Helena» da Notti Fugaci.
Scopri il libro dal link in bio.
#DiariDiPelle #NottiFugaci #BookTokItalia #LibriTikTok</v>
      </c>
      <c r="Q46" s="64" t="str">
        <f>TESTI!J8</f>
        <v>https://diaridipelle.it/notti-fugaci.html</v>
      </c>
      <c r="R46" s="42" t="s">
        <v>138</v>
      </c>
      <c r="S46" s="60" t="s">
        <v>231</v>
      </c>
      <c r="T46" s="60" t="s">
        <v>124</v>
      </c>
      <c r="U46" s="42" t="s">
        <v>234</v>
      </c>
      <c r="V46" s="42" t="str">
        <f t="shared" si="2"/>
        <v/>
      </c>
    </row>
    <row r="47" ht="78.0" customHeight="1">
      <c r="A47" s="60" t="s">
        <v>708</v>
      </c>
      <c r="B47" s="60">
        <v>4.0</v>
      </c>
      <c r="C47" s="61">
        <f>CAMPAGNE!I8</f>
        <v>46263</v>
      </c>
      <c r="D47" s="62">
        <v>0.4965277777777778</v>
      </c>
      <c r="E47" s="63">
        <f>CAMPAGNE!I8</f>
        <v>46263</v>
      </c>
      <c r="F47" s="60" t="str">
        <f t="shared" si="1"/>
        <v>Sabato</v>
      </c>
      <c r="G47" s="62">
        <v>0.5</v>
      </c>
      <c r="H47" s="60" t="s">
        <v>128</v>
      </c>
      <c r="I47" s="60" t="s">
        <v>170</v>
      </c>
      <c r="J47" s="42" t="s">
        <v>132</v>
      </c>
      <c r="K47" s="60" t="s">
        <v>256</v>
      </c>
      <c r="L47" s="42" t="s">
        <v>257</v>
      </c>
      <c r="M47" s="42" t="s">
        <v>252</v>
      </c>
      <c r="N47" s="42" t="s">
        <v>365</v>
      </c>
      <c r="O47" s="42" t="s">
        <v>709</v>
      </c>
      <c r="P47" s="42" t="str">
        <f>TESTI!N8</f>
        <v>Tocca SCOPRI IL LIBRO e scegli cartaceo o Kindle.</v>
      </c>
      <c r="Q47" s="64" t="str">
        <f>TESTI!H8</f>
        <v>https://diaridipelle.it/notti-fugaci.html?utm_source=instagram&amp;utm_medium=story&amp;utm_campaign=notti_fugaci&amp;utm_content=ch06</v>
      </c>
      <c r="R47" s="42" t="s">
        <v>139</v>
      </c>
      <c r="S47" s="60" t="s">
        <v>79</v>
      </c>
      <c r="T47" s="60" t="s">
        <v>124</v>
      </c>
      <c r="U47" s="42" t="s">
        <v>262</v>
      </c>
      <c r="V47" s="42" t="str">
        <f t="shared" si="2"/>
        <v/>
      </c>
    </row>
    <row r="48" ht="78.0" customHeight="1">
      <c r="A48" s="60" t="s">
        <v>710</v>
      </c>
      <c r="B48" s="60">
        <v>4.0</v>
      </c>
      <c r="C48" s="61">
        <f>CAMPAGNE!F8</f>
        <v>46239</v>
      </c>
      <c r="D48" s="62">
        <v>0.75</v>
      </c>
      <c r="E48" s="63">
        <f>CAMPAGNE!I8</f>
        <v>46263</v>
      </c>
      <c r="F48" s="60" t="str">
        <f t="shared" si="1"/>
        <v>Sabato</v>
      </c>
      <c r="G48" s="62">
        <v>0.5</v>
      </c>
      <c r="H48" s="60" t="s">
        <v>152</v>
      </c>
      <c r="I48" s="60" t="s">
        <v>170</v>
      </c>
      <c r="J48" s="42" t="s">
        <v>132</v>
      </c>
      <c r="K48" s="60" t="s">
        <v>256</v>
      </c>
      <c r="L48" s="42" t="s">
        <v>257</v>
      </c>
      <c r="M48" s="42" t="s">
        <v>285</v>
      </c>
      <c r="N48" s="42" t="s">
        <v>365</v>
      </c>
      <c r="O48" s="42" t="s">
        <v>709</v>
      </c>
      <c r="P48" s="42" t="str">
        <f>TESTI!N8</f>
        <v>Tocca SCOPRI IL LIBRO e scegli cartaceo o Kindle.</v>
      </c>
      <c r="Q48" s="64" t="str">
        <f>TESTI!I8</f>
        <v>https://diaridipelle.it/notti-fugaci.html?utm_source=facebook&amp;utm_medium=story&amp;utm_campaign=notti_fugaci&amp;utm_content=ch06</v>
      </c>
      <c r="R48" s="42" t="s">
        <v>188</v>
      </c>
      <c r="S48" s="60" t="s">
        <v>140</v>
      </c>
      <c r="T48" s="60" t="s">
        <v>124</v>
      </c>
      <c r="U48" s="42" t="s">
        <v>294</v>
      </c>
      <c r="V48" s="42" t="str">
        <f t="shared" si="2"/>
        <v/>
      </c>
    </row>
    <row r="49" ht="78.0" customHeight="1">
      <c r="A49" s="60" t="s">
        <v>711</v>
      </c>
      <c r="B49" s="60">
        <v>4.0</v>
      </c>
      <c r="C49" s="61">
        <f>CAMPAGNE!F8</f>
        <v>46239</v>
      </c>
      <c r="D49" s="62">
        <v>0.75</v>
      </c>
      <c r="E49" s="63">
        <f>CAMPAGNE!J8</f>
        <v>46264</v>
      </c>
      <c r="F49" s="60" t="str">
        <f t="shared" si="1"/>
        <v>Domenica</v>
      </c>
      <c r="G49" s="62">
        <v>0.8333333333333334</v>
      </c>
      <c r="H49" s="60" t="s">
        <v>128</v>
      </c>
      <c r="I49" s="60" t="s">
        <v>119</v>
      </c>
      <c r="J49" s="42" t="s">
        <v>132</v>
      </c>
      <c r="K49" s="60" t="s">
        <v>256</v>
      </c>
      <c r="L49" s="42" t="s">
        <v>257</v>
      </c>
      <c r="M49" s="42" t="s">
        <v>313</v>
      </c>
      <c r="N49" s="42" t="s">
        <v>366</v>
      </c>
      <c r="O49" s="42" t="s">
        <v>316</v>
      </c>
      <c r="P49" s="42" t="str">
        <f>TESTI!E8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#DiariDiPelle #NottiFugaci #Helena #NarrativaContemporanea #LibriDaLeggere</v>
      </c>
      <c r="Q49" s="64" t="str">
        <f>TESTI!J8</f>
        <v>https://diaridipelle.it/notti-fugaci.html</v>
      </c>
      <c r="R49" s="42" t="s">
        <v>139</v>
      </c>
      <c r="S49" s="60" t="s">
        <v>140</v>
      </c>
      <c r="T49" s="60" t="s">
        <v>124</v>
      </c>
      <c r="U49" s="42" t="s">
        <v>328</v>
      </c>
      <c r="V49" s="42" t="str">
        <f t="shared" si="2"/>
        <v/>
      </c>
    </row>
    <row r="50" ht="78.0" customHeight="1">
      <c r="A50" s="60" t="s">
        <v>712</v>
      </c>
      <c r="B50" s="60">
        <v>4.0</v>
      </c>
      <c r="C50" s="61">
        <f>CAMPAGNE!F8</f>
        <v>46239</v>
      </c>
      <c r="D50" s="62">
        <v>0.75</v>
      </c>
      <c r="E50" s="63">
        <f>CAMPAGNE!J8</f>
        <v>46264</v>
      </c>
      <c r="F50" s="60" t="str">
        <f t="shared" si="1"/>
        <v>Domenica</v>
      </c>
      <c r="G50" s="62">
        <v>0.8333333333333334</v>
      </c>
      <c r="H50" s="60" t="s">
        <v>152</v>
      </c>
      <c r="I50" s="60" t="s">
        <v>119</v>
      </c>
      <c r="J50" s="42" t="s">
        <v>132</v>
      </c>
      <c r="K50" s="60" t="s">
        <v>256</v>
      </c>
      <c r="L50" s="42" t="s">
        <v>257</v>
      </c>
      <c r="M50" s="42" t="s">
        <v>313</v>
      </c>
      <c r="N50" s="42" t="s">
        <v>366</v>
      </c>
      <c r="O50" s="42" t="s">
        <v>316</v>
      </c>
      <c r="P50" s="42" t="str">
        <f>TESTI!F8</f>
        <v>Helena si era sposata troppo giovane. Cercava una prova: sapere che si può cambiare anche quando sembra tardi.
Tra il mare, il flamenco e una stanza bianca, un incontro diventa qualcosa di più di una notte. Non una promessa, ma il coraggio temporaneo di immaginarsi diversi.
Helena è il sesto capitolo di Notti Fugaci.
Scopri la collana e il libro completo dal link nel profilo.
🌐 https://diaridipelle.it/notti-fugaci.html
📕 Cartaceo: https://www.amazon.it/dp/B0GRWP3X7C
📱 Kindle: https://www.amazon.it/dp/B0GRWP6PMK
#DiariDiPelle #NottiFugaci #Helena #NarrativaContemporanea #LibriDaLeggere</v>
      </c>
      <c r="Q50" s="64" t="str">
        <f>TESTI!J8</f>
        <v>https://diaridipelle.it/notti-fugaci.html</v>
      </c>
      <c r="R50" s="42" t="s">
        <v>188</v>
      </c>
      <c r="S50" s="60" t="s">
        <v>140</v>
      </c>
      <c r="T50" s="60" t="s">
        <v>124</v>
      </c>
      <c r="U50" s="42" t="s">
        <v>351</v>
      </c>
      <c r="V50" s="42" t="str">
        <f t="shared" si="2"/>
        <v/>
      </c>
    </row>
    <row r="51" ht="78.0" customHeight="1">
      <c r="A51" s="60" t="s">
        <v>713</v>
      </c>
      <c r="B51" s="60">
        <v>4.0</v>
      </c>
      <c r="C51" s="61">
        <f>CAMPAGNE!F9</f>
        <v>46239</v>
      </c>
      <c r="D51" s="62">
        <v>0.75</v>
      </c>
      <c r="E51" s="63">
        <f>CAMPAGNE!H9</f>
        <v>46265</v>
      </c>
      <c r="F51" s="60" t="str">
        <f t="shared" si="1"/>
        <v>Lunedì</v>
      </c>
      <c r="G51" s="62">
        <v>0.8333333333333334</v>
      </c>
      <c r="H51" s="60" t="s">
        <v>128</v>
      </c>
      <c r="I51" s="60" t="s">
        <v>131</v>
      </c>
      <c r="J51" s="42" t="s">
        <v>132</v>
      </c>
      <c r="K51" s="60" t="s">
        <v>271</v>
      </c>
      <c r="L51" s="42" t="s">
        <v>272</v>
      </c>
      <c r="M51" s="42" t="s">
        <v>135</v>
      </c>
      <c r="N51" s="42" t="s">
        <v>378</v>
      </c>
      <c r="O51" s="42" t="s">
        <v>380</v>
      </c>
      <c r="P51" s="42" t="str">
        <f>TESTI!E9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#DiariDiPelle #NottiFugaci #Virginia #Barcellona #NarrativaItaliana</v>
      </c>
      <c r="Q51" s="64" t="str">
        <f>TESTI!J9</f>
        <v>https://diaridipelle.it/notti-fugaci.html</v>
      </c>
      <c r="R51" s="42" t="s">
        <v>139</v>
      </c>
      <c r="S51" s="60" t="s">
        <v>140</v>
      </c>
      <c r="T51" s="60" t="s">
        <v>124</v>
      </c>
      <c r="U51" s="42" t="s">
        <v>142</v>
      </c>
      <c r="V51" s="42" t="str">
        <f t="shared" si="2"/>
        <v/>
      </c>
    </row>
    <row r="52" ht="78.0" customHeight="1">
      <c r="A52" s="60" t="s">
        <v>714</v>
      </c>
      <c r="B52" s="60">
        <v>4.0</v>
      </c>
      <c r="C52" s="61">
        <f>CAMPAGNE!F9</f>
        <v>46239</v>
      </c>
      <c r="D52" s="62">
        <v>0.75</v>
      </c>
      <c r="E52" s="63">
        <f>CAMPAGNE!H9</f>
        <v>46265</v>
      </c>
      <c r="F52" s="60" t="str">
        <f t="shared" si="1"/>
        <v>Lunedì</v>
      </c>
      <c r="G52" s="62">
        <v>0.8333333333333334</v>
      </c>
      <c r="H52" s="60" t="s">
        <v>152</v>
      </c>
      <c r="I52" s="60" t="s">
        <v>131</v>
      </c>
      <c r="J52" s="42" t="s">
        <v>132</v>
      </c>
      <c r="K52" s="60" t="s">
        <v>271</v>
      </c>
      <c r="L52" s="42" t="s">
        <v>272</v>
      </c>
      <c r="M52" s="42" t="s">
        <v>172</v>
      </c>
      <c r="N52" s="42" t="s">
        <v>378</v>
      </c>
      <c r="O52" s="42" t="s">
        <v>380</v>
      </c>
      <c r="P52" s="42" t="str">
        <f>TESTI!F9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 https://diaridipelle.it/notti-fugaci.html
📕 Cartaceo: https://www.amazon.it/dp/B0GRWP3X7C
📱 Kindle: https://www.amazon.it/dp/B0GRWP6PMK
#DiariDiPelle #NottiFugaci #Virginia #Barcellona #NarrativaItaliana</v>
      </c>
      <c r="Q52" s="64" t="str">
        <f>TESTI!J9</f>
        <v>https://diaridipelle.it/notti-fugaci.html</v>
      </c>
      <c r="R52" s="42" t="s">
        <v>188</v>
      </c>
      <c r="S52" s="60" t="s">
        <v>140</v>
      </c>
      <c r="T52" s="60" t="s">
        <v>124</v>
      </c>
      <c r="U52" s="42" t="s">
        <v>193</v>
      </c>
      <c r="V52" s="42" t="str">
        <f t="shared" si="2"/>
        <v/>
      </c>
    </row>
    <row r="53" ht="78.0" customHeight="1">
      <c r="A53" s="60" t="s">
        <v>715</v>
      </c>
      <c r="B53" s="60">
        <v>4.0</v>
      </c>
      <c r="C53" s="61">
        <f>CAMPAGNE!G9</f>
        <v>46260</v>
      </c>
      <c r="D53" s="62">
        <v>0.75</v>
      </c>
      <c r="E53" s="63">
        <f>CAMPAGNE!H9</f>
        <v>46265</v>
      </c>
      <c r="F53" s="60" t="str">
        <f t="shared" si="1"/>
        <v>Lunedì</v>
      </c>
      <c r="G53" s="62">
        <v>0.8333333333333334</v>
      </c>
      <c r="H53" s="60" t="s">
        <v>213</v>
      </c>
      <c r="I53" s="60" t="s">
        <v>111</v>
      </c>
      <c r="J53" s="42" t="s">
        <v>132</v>
      </c>
      <c r="K53" s="60" t="s">
        <v>271</v>
      </c>
      <c r="L53" s="42" t="s">
        <v>272</v>
      </c>
      <c r="M53" s="42" t="s">
        <v>223</v>
      </c>
      <c r="N53" s="42" t="s">
        <v>378</v>
      </c>
      <c r="O53" s="42" t="s">
        <v>380</v>
      </c>
      <c r="P53" s="42" t="str">
        <f>TESTI!G9</f>
        <v>Barcellona sembrava dire una cosa semplice: non andare dove il sentiero è già segnato.
«Virginia» da Notti Fugaci.
Scopri il libro dal link in bio.
#DiariDiPelle #NottiFugaci #BookTokItalia #LibriTikTok</v>
      </c>
      <c r="Q53" s="64" t="str">
        <f>TESTI!J9</f>
        <v>https://diaridipelle.it/notti-fugaci.html</v>
      </c>
      <c r="R53" s="42" t="s">
        <v>138</v>
      </c>
      <c r="S53" s="60" t="s">
        <v>231</v>
      </c>
      <c r="T53" s="60" t="s">
        <v>124</v>
      </c>
      <c r="U53" s="42" t="s">
        <v>234</v>
      </c>
      <c r="V53" s="42" t="str">
        <f t="shared" si="2"/>
        <v/>
      </c>
    </row>
    <row r="54" ht="78.0" customHeight="1">
      <c r="A54" s="60" t="s">
        <v>716</v>
      </c>
      <c r="B54" s="60">
        <v>4.0</v>
      </c>
      <c r="C54" s="61">
        <f>CAMPAGNE!I9</f>
        <v>46266</v>
      </c>
      <c r="D54" s="62">
        <v>0.4965277777777778</v>
      </c>
      <c r="E54" s="63">
        <f>CAMPAGNE!I9</f>
        <v>46266</v>
      </c>
      <c r="F54" s="60" t="str">
        <f t="shared" si="1"/>
        <v>Martedì</v>
      </c>
      <c r="G54" s="62">
        <v>0.5</v>
      </c>
      <c r="H54" s="60" t="s">
        <v>128</v>
      </c>
      <c r="I54" s="60" t="s">
        <v>170</v>
      </c>
      <c r="J54" s="42" t="s">
        <v>132</v>
      </c>
      <c r="K54" s="60" t="s">
        <v>271</v>
      </c>
      <c r="L54" s="42" t="s">
        <v>272</v>
      </c>
      <c r="M54" s="42" t="s">
        <v>252</v>
      </c>
      <c r="N54" s="42" t="s">
        <v>382</v>
      </c>
      <c r="O54" s="42" t="s">
        <v>717</v>
      </c>
      <c r="P54" s="42" t="str">
        <f>TESTI!N9</f>
        <v>Tocca SCOPRI IL LIBRO e scegli cartaceo o Kindle.</v>
      </c>
      <c r="Q54" s="64" t="str">
        <f>TESTI!H9</f>
        <v>https://diaridipelle.it/notti-fugaci.html?utm_source=instagram&amp;utm_medium=story&amp;utm_campaign=notti_fugaci&amp;utm_content=ch07</v>
      </c>
      <c r="R54" s="42" t="s">
        <v>139</v>
      </c>
      <c r="S54" s="60" t="s">
        <v>79</v>
      </c>
      <c r="T54" s="60" t="s">
        <v>124</v>
      </c>
      <c r="U54" s="42" t="s">
        <v>262</v>
      </c>
      <c r="V54" s="42" t="str">
        <f t="shared" si="2"/>
        <v/>
      </c>
    </row>
    <row r="55" ht="78.0" customHeight="1">
      <c r="A55" s="60" t="s">
        <v>718</v>
      </c>
      <c r="B55" s="60">
        <v>4.0</v>
      </c>
      <c r="C55" s="61">
        <f>CAMPAGNE!F9</f>
        <v>46239</v>
      </c>
      <c r="D55" s="62">
        <v>0.75</v>
      </c>
      <c r="E55" s="63">
        <f>CAMPAGNE!I9</f>
        <v>46266</v>
      </c>
      <c r="F55" s="60" t="str">
        <f t="shared" si="1"/>
        <v>Martedì</v>
      </c>
      <c r="G55" s="62">
        <v>0.5</v>
      </c>
      <c r="H55" s="60" t="s">
        <v>152</v>
      </c>
      <c r="I55" s="60" t="s">
        <v>170</v>
      </c>
      <c r="J55" s="42" t="s">
        <v>132</v>
      </c>
      <c r="K55" s="60" t="s">
        <v>271</v>
      </c>
      <c r="L55" s="42" t="s">
        <v>272</v>
      </c>
      <c r="M55" s="42" t="s">
        <v>285</v>
      </c>
      <c r="N55" s="42" t="s">
        <v>382</v>
      </c>
      <c r="O55" s="42" t="s">
        <v>717</v>
      </c>
      <c r="P55" s="42" t="str">
        <f>TESTI!N9</f>
        <v>Tocca SCOPRI IL LIBRO e scegli cartaceo o Kindle.</v>
      </c>
      <c r="Q55" s="64" t="str">
        <f>TESTI!I9</f>
        <v>https://diaridipelle.it/notti-fugaci.html?utm_source=facebook&amp;utm_medium=story&amp;utm_campaign=notti_fugaci&amp;utm_content=ch07</v>
      </c>
      <c r="R55" s="42" t="s">
        <v>188</v>
      </c>
      <c r="S55" s="60" t="s">
        <v>140</v>
      </c>
      <c r="T55" s="60" t="s">
        <v>124</v>
      </c>
      <c r="U55" s="42" t="s">
        <v>294</v>
      </c>
      <c r="V55" s="42" t="str">
        <f t="shared" si="2"/>
        <v/>
      </c>
    </row>
    <row r="56" ht="78.0" customHeight="1">
      <c r="A56" s="60" t="s">
        <v>719</v>
      </c>
      <c r="B56" s="60">
        <v>4.0</v>
      </c>
      <c r="C56" s="61">
        <f>CAMPAGNE!F9</f>
        <v>46239</v>
      </c>
      <c r="D56" s="62">
        <v>0.75</v>
      </c>
      <c r="E56" s="63">
        <f>CAMPAGNE!J9</f>
        <v>46267</v>
      </c>
      <c r="F56" s="60" t="str">
        <f t="shared" si="1"/>
        <v>Mercoledì</v>
      </c>
      <c r="G56" s="62">
        <v>0.4583333333333333</v>
      </c>
      <c r="H56" s="60" t="s">
        <v>128</v>
      </c>
      <c r="I56" s="60" t="s">
        <v>119</v>
      </c>
      <c r="J56" s="42" t="s">
        <v>132</v>
      </c>
      <c r="K56" s="60" t="s">
        <v>271</v>
      </c>
      <c r="L56" s="42" t="s">
        <v>272</v>
      </c>
      <c r="M56" s="42" t="s">
        <v>313</v>
      </c>
      <c r="N56" s="42" t="s">
        <v>383</v>
      </c>
      <c r="O56" s="42" t="s">
        <v>316</v>
      </c>
      <c r="P56" s="42" t="str">
        <f>TESTI!E9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#DiariDiPelle #NottiFugaci #Virginia #Barcellona #NarrativaItaliana</v>
      </c>
      <c r="Q56" s="64" t="str">
        <f>TESTI!J9</f>
        <v>https://diaridipelle.it/notti-fugaci.html</v>
      </c>
      <c r="R56" s="42" t="s">
        <v>139</v>
      </c>
      <c r="S56" s="60" t="s">
        <v>140</v>
      </c>
      <c r="T56" s="60" t="s">
        <v>124</v>
      </c>
      <c r="U56" s="42" t="s">
        <v>328</v>
      </c>
      <c r="V56" s="42" t="str">
        <f t="shared" si="2"/>
        <v/>
      </c>
    </row>
    <row r="57" ht="78.0" customHeight="1">
      <c r="A57" s="60" t="s">
        <v>720</v>
      </c>
      <c r="B57" s="60">
        <v>4.0</v>
      </c>
      <c r="C57" s="61">
        <f>CAMPAGNE!F9</f>
        <v>46239</v>
      </c>
      <c r="D57" s="62">
        <v>0.75</v>
      </c>
      <c r="E57" s="63">
        <f>CAMPAGNE!J9</f>
        <v>46267</v>
      </c>
      <c r="F57" s="60" t="str">
        <f t="shared" si="1"/>
        <v>Mercoledì</v>
      </c>
      <c r="G57" s="62">
        <v>0.4583333333333333</v>
      </c>
      <c r="H57" s="60" t="s">
        <v>152</v>
      </c>
      <c r="I57" s="60" t="s">
        <v>119</v>
      </c>
      <c r="J57" s="42" t="s">
        <v>132</v>
      </c>
      <c r="K57" s="60" t="s">
        <v>271</v>
      </c>
      <c r="L57" s="42" t="s">
        <v>272</v>
      </c>
      <c r="M57" s="42" t="s">
        <v>313</v>
      </c>
      <c r="N57" s="42" t="s">
        <v>383</v>
      </c>
      <c r="O57" s="42" t="s">
        <v>316</v>
      </c>
      <c r="P57" s="42" t="str">
        <f>TESTI!F9</f>
        <v>Barcellona sembrava dire una cosa semplice: non andare dove il sentiero è già segnato.
Virginia arriva con lo sguardo verde, l'odore d'incenso e la sicurezza di chi non ha bisogno di promettere il giorno dopo. Una notte può essere completa anche quando non vuole diventare futuro.
Il settimo capitolo di Notti Fugaci è una traccia lasciata senza chiedere di essere seguita.
Continua dal link nel profilo.
🌐 https://diaridipelle.it/notti-fugaci.html
📕 Cartaceo: https://www.amazon.it/dp/B0GRWP3X7C
📱 Kindle: https://www.amazon.it/dp/B0GRWP6PMK
#DiariDiPelle #NottiFugaci #Virginia #Barcellona #NarrativaItaliana</v>
      </c>
      <c r="Q57" s="64" t="str">
        <f>TESTI!J9</f>
        <v>https://diaridipelle.it/notti-fugaci.html</v>
      </c>
      <c r="R57" s="42" t="s">
        <v>188</v>
      </c>
      <c r="S57" s="60" t="s">
        <v>140</v>
      </c>
      <c r="T57" s="60" t="s">
        <v>124</v>
      </c>
      <c r="U57" s="42" t="s">
        <v>351</v>
      </c>
      <c r="V57" s="42" t="str">
        <f t="shared" si="2"/>
        <v/>
      </c>
    </row>
    <row r="58" ht="78.0" customHeight="1">
      <c r="A58" s="60" t="s">
        <v>721</v>
      </c>
      <c r="B58" s="60">
        <v>5.0</v>
      </c>
      <c r="C58" s="61">
        <f>CAMPAGNE!F10</f>
        <v>46267</v>
      </c>
      <c r="D58" s="62">
        <v>0.75</v>
      </c>
      <c r="E58" s="63">
        <f>CAMPAGNE!H10</f>
        <v>46269</v>
      </c>
      <c r="F58" s="60" t="str">
        <f t="shared" si="1"/>
        <v>Venerdì</v>
      </c>
      <c r="G58" s="62">
        <v>0.8333333333333334</v>
      </c>
      <c r="H58" s="60" t="s">
        <v>128</v>
      </c>
      <c r="I58" s="60" t="s">
        <v>131</v>
      </c>
      <c r="J58" s="42" t="s">
        <v>132</v>
      </c>
      <c r="K58" s="60" t="s">
        <v>281</v>
      </c>
      <c r="L58" s="42" t="s">
        <v>282</v>
      </c>
      <c r="M58" s="42" t="s">
        <v>135</v>
      </c>
      <c r="N58" s="42" t="s">
        <v>395</v>
      </c>
      <c r="O58" s="42" t="s">
        <v>396</v>
      </c>
      <c r="P58" s="42" t="str">
        <f>TESTI!E10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#DiariDiPelle #NottiFugaci #Hope #NarrativaPsicologica #LibriItaliani</v>
      </c>
      <c r="Q58" s="64" t="str">
        <f>TESTI!J10</f>
        <v>https://diaridipelle.it/notti-fugaci.html</v>
      </c>
      <c r="R58" s="42" t="s">
        <v>139</v>
      </c>
      <c r="S58" s="60" t="s">
        <v>140</v>
      </c>
      <c r="T58" s="60" t="s">
        <v>124</v>
      </c>
      <c r="U58" s="42" t="s">
        <v>142</v>
      </c>
      <c r="V58" s="42" t="str">
        <f t="shared" si="2"/>
        <v/>
      </c>
    </row>
    <row r="59" ht="78.0" customHeight="1">
      <c r="A59" s="60" t="s">
        <v>722</v>
      </c>
      <c r="B59" s="60">
        <v>5.0</v>
      </c>
      <c r="C59" s="61">
        <f>CAMPAGNE!F10</f>
        <v>46267</v>
      </c>
      <c r="D59" s="62">
        <v>0.75</v>
      </c>
      <c r="E59" s="63">
        <f>CAMPAGNE!H10</f>
        <v>46269</v>
      </c>
      <c r="F59" s="60" t="str">
        <f t="shared" si="1"/>
        <v>Venerdì</v>
      </c>
      <c r="G59" s="62">
        <v>0.8333333333333334</v>
      </c>
      <c r="H59" s="60" t="s">
        <v>152</v>
      </c>
      <c r="I59" s="60" t="s">
        <v>131</v>
      </c>
      <c r="J59" s="42" t="s">
        <v>132</v>
      </c>
      <c r="K59" s="60" t="s">
        <v>281</v>
      </c>
      <c r="L59" s="42" t="s">
        <v>282</v>
      </c>
      <c r="M59" s="42" t="s">
        <v>172</v>
      </c>
      <c r="N59" s="42" t="s">
        <v>395</v>
      </c>
      <c r="O59" s="42" t="s">
        <v>396</v>
      </c>
      <c r="P59" s="42" t="str">
        <f>TESTI!F10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 https://diaridipelle.it/notti-fugaci.html
📕 Cartaceo: https://www.amazon.it/dp/B0GRWP3X7C
📱 Kindle: https://www.amazon.it/dp/B0GRWP6PMK
#DiariDiPelle #NottiFugaci #Hope #NarrativaPsicologica #LibriItaliani</v>
      </c>
      <c r="Q59" s="64" t="str">
        <f>TESTI!J10</f>
        <v>https://diaridipelle.it/notti-fugaci.html</v>
      </c>
      <c r="R59" s="42" t="s">
        <v>188</v>
      </c>
      <c r="S59" s="60" t="s">
        <v>140</v>
      </c>
      <c r="T59" s="60" t="s">
        <v>124</v>
      </c>
      <c r="U59" s="42" t="s">
        <v>193</v>
      </c>
      <c r="V59" s="42" t="str">
        <f t="shared" si="2"/>
        <v/>
      </c>
    </row>
    <row r="60" ht="78.0" customHeight="1">
      <c r="A60" s="60" t="s">
        <v>723</v>
      </c>
      <c r="B60" s="60">
        <v>5.0</v>
      </c>
      <c r="C60" s="61">
        <f>CAMPAGNE!G10</f>
        <v>46267</v>
      </c>
      <c r="D60" s="62">
        <v>0.75</v>
      </c>
      <c r="E60" s="63">
        <f>CAMPAGNE!H10</f>
        <v>46269</v>
      </c>
      <c r="F60" s="60" t="str">
        <f t="shared" si="1"/>
        <v>Venerdì</v>
      </c>
      <c r="G60" s="62">
        <v>0.8333333333333334</v>
      </c>
      <c r="H60" s="60" t="s">
        <v>213</v>
      </c>
      <c r="I60" s="60" t="s">
        <v>111</v>
      </c>
      <c r="J60" s="42" t="s">
        <v>132</v>
      </c>
      <c r="K60" s="60" t="s">
        <v>281</v>
      </c>
      <c r="L60" s="42" t="s">
        <v>282</v>
      </c>
      <c r="M60" s="42" t="s">
        <v>223</v>
      </c>
      <c r="N60" s="42" t="s">
        <v>395</v>
      </c>
      <c r="O60" s="42" t="s">
        <v>396</v>
      </c>
      <c r="P60" s="42" t="str">
        <f>TESTI!G10</f>
        <v>Hope aveva già capito tutto. Eppure bastò una bugia elegante per rimandare la verità di qualche ora.
«Hope» da Notti Fugaci.
Scopri il libro dal link in bio.
#DiariDiPelle #NottiFugaci #BookTokItalia #LibriTikTok</v>
      </c>
      <c r="Q60" s="64" t="str">
        <f>TESTI!J10</f>
        <v>https://diaridipelle.it/notti-fugaci.html</v>
      </c>
      <c r="R60" s="42" t="s">
        <v>138</v>
      </c>
      <c r="S60" s="60" t="s">
        <v>231</v>
      </c>
      <c r="T60" s="60" t="s">
        <v>124</v>
      </c>
      <c r="U60" s="42" t="s">
        <v>234</v>
      </c>
      <c r="V60" s="42" t="str">
        <f t="shared" si="2"/>
        <v/>
      </c>
    </row>
    <row r="61" ht="78.0" customHeight="1">
      <c r="A61" s="60" t="s">
        <v>724</v>
      </c>
      <c r="B61" s="60">
        <v>5.0</v>
      </c>
      <c r="C61" s="61">
        <f>CAMPAGNE!I10</f>
        <v>46270</v>
      </c>
      <c r="D61" s="62">
        <v>0.4965277777777778</v>
      </c>
      <c r="E61" s="63">
        <f>CAMPAGNE!I10</f>
        <v>46270</v>
      </c>
      <c r="F61" s="60" t="str">
        <f t="shared" si="1"/>
        <v>Sabato</v>
      </c>
      <c r="G61" s="62">
        <v>0.5</v>
      </c>
      <c r="H61" s="60" t="s">
        <v>128</v>
      </c>
      <c r="I61" s="60" t="s">
        <v>170</v>
      </c>
      <c r="J61" s="42" t="s">
        <v>132</v>
      </c>
      <c r="K61" s="60" t="s">
        <v>281</v>
      </c>
      <c r="L61" s="42" t="s">
        <v>282</v>
      </c>
      <c r="M61" s="42" t="s">
        <v>252</v>
      </c>
      <c r="N61" s="42" t="s">
        <v>397</v>
      </c>
      <c r="O61" s="42" t="s">
        <v>725</v>
      </c>
      <c r="P61" s="42" t="str">
        <f>TESTI!N10</f>
        <v>Tocca SCOPRI IL LIBRO e scegli cartaceo o Kindle.</v>
      </c>
      <c r="Q61" s="64" t="str">
        <f>TESTI!H10</f>
        <v>https://diaridipelle.it/notti-fugaci.html?utm_source=instagram&amp;utm_medium=story&amp;utm_campaign=notti_fugaci&amp;utm_content=ch08</v>
      </c>
      <c r="R61" s="42" t="s">
        <v>139</v>
      </c>
      <c r="S61" s="60" t="s">
        <v>79</v>
      </c>
      <c r="T61" s="60" t="s">
        <v>124</v>
      </c>
      <c r="U61" s="42" t="s">
        <v>262</v>
      </c>
      <c r="V61" s="42" t="str">
        <f t="shared" si="2"/>
        <v/>
      </c>
    </row>
    <row r="62" ht="78.0" customHeight="1">
      <c r="A62" s="60" t="s">
        <v>726</v>
      </c>
      <c r="B62" s="60">
        <v>5.0</v>
      </c>
      <c r="C62" s="61">
        <f>CAMPAGNE!F10</f>
        <v>46267</v>
      </c>
      <c r="D62" s="62">
        <v>0.75</v>
      </c>
      <c r="E62" s="63">
        <f>CAMPAGNE!I10</f>
        <v>46270</v>
      </c>
      <c r="F62" s="60" t="str">
        <f t="shared" si="1"/>
        <v>Sabato</v>
      </c>
      <c r="G62" s="62">
        <v>0.5</v>
      </c>
      <c r="H62" s="60" t="s">
        <v>152</v>
      </c>
      <c r="I62" s="60" t="s">
        <v>170</v>
      </c>
      <c r="J62" s="42" t="s">
        <v>132</v>
      </c>
      <c r="K62" s="60" t="s">
        <v>281</v>
      </c>
      <c r="L62" s="42" t="s">
        <v>282</v>
      </c>
      <c r="M62" s="42" t="s">
        <v>285</v>
      </c>
      <c r="N62" s="42" t="s">
        <v>397</v>
      </c>
      <c r="O62" s="42" t="s">
        <v>725</v>
      </c>
      <c r="P62" s="42" t="str">
        <f>TESTI!N10</f>
        <v>Tocca SCOPRI IL LIBRO e scegli cartaceo o Kindle.</v>
      </c>
      <c r="Q62" s="64" t="str">
        <f>TESTI!I10</f>
        <v>https://diaridipelle.it/notti-fugaci.html?utm_source=facebook&amp;utm_medium=story&amp;utm_campaign=notti_fugaci&amp;utm_content=ch08</v>
      </c>
      <c r="R62" s="42" t="s">
        <v>188</v>
      </c>
      <c r="S62" s="60" t="s">
        <v>140</v>
      </c>
      <c r="T62" s="60" t="s">
        <v>124</v>
      </c>
      <c r="U62" s="42" t="s">
        <v>294</v>
      </c>
      <c r="V62" s="42" t="str">
        <f t="shared" si="2"/>
        <v/>
      </c>
    </row>
    <row r="63" ht="78.0" customHeight="1">
      <c r="A63" s="60" t="s">
        <v>727</v>
      </c>
      <c r="B63" s="60">
        <v>5.0</v>
      </c>
      <c r="C63" s="61">
        <f>CAMPAGNE!F10</f>
        <v>46267</v>
      </c>
      <c r="D63" s="62">
        <v>0.75</v>
      </c>
      <c r="E63" s="63">
        <f>CAMPAGNE!J10</f>
        <v>46271</v>
      </c>
      <c r="F63" s="60" t="str">
        <f t="shared" si="1"/>
        <v>Domenica</v>
      </c>
      <c r="G63" s="62">
        <v>0.8333333333333334</v>
      </c>
      <c r="H63" s="60" t="s">
        <v>128</v>
      </c>
      <c r="I63" s="60" t="s">
        <v>119</v>
      </c>
      <c r="J63" s="42" t="s">
        <v>132</v>
      </c>
      <c r="K63" s="60" t="s">
        <v>281</v>
      </c>
      <c r="L63" s="42" t="s">
        <v>282</v>
      </c>
      <c r="M63" s="42" t="s">
        <v>313</v>
      </c>
      <c r="N63" s="42" t="s">
        <v>399</v>
      </c>
      <c r="O63" s="42" t="s">
        <v>316</v>
      </c>
      <c r="P63" s="42" t="str">
        <f>TESTI!E10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#DiariDiPelle #NottiFugaci #Hope #NarrativaPsicologica #LibriItaliani</v>
      </c>
      <c r="Q63" s="64" t="str">
        <f>TESTI!J10</f>
        <v>https://diaridipelle.it/notti-fugaci.html</v>
      </c>
      <c r="R63" s="42" t="s">
        <v>139</v>
      </c>
      <c r="S63" s="60" t="s">
        <v>140</v>
      </c>
      <c r="T63" s="60" t="s">
        <v>124</v>
      </c>
      <c r="U63" s="42" t="s">
        <v>328</v>
      </c>
      <c r="V63" s="42" t="str">
        <f t="shared" si="2"/>
        <v/>
      </c>
    </row>
    <row r="64" ht="78.0" customHeight="1">
      <c r="A64" s="60" t="s">
        <v>728</v>
      </c>
      <c r="B64" s="60">
        <v>5.0</v>
      </c>
      <c r="C64" s="61">
        <f>CAMPAGNE!F10</f>
        <v>46267</v>
      </c>
      <c r="D64" s="62">
        <v>0.75</v>
      </c>
      <c r="E64" s="63">
        <f>CAMPAGNE!J10</f>
        <v>46271</v>
      </c>
      <c r="F64" s="60" t="str">
        <f t="shared" si="1"/>
        <v>Domenica</v>
      </c>
      <c r="G64" s="62">
        <v>0.8333333333333334</v>
      </c>
      <c r="H64" s="60" t="s">
        <v>152</v>
      </c>
      <c r="I64" s="60" t="s">
        <v>119</v>
      </c>
      <c r="J64" s="42" t="s">
        <v>132</v>
      </c>
      <c r="K64" s="60" t="s">
        <v>281</v>
      </c>
      <c r="L64" s="42" t="s">
        <v>282</v>
      </c>
      <c r="M64" s="42" t="s">
        <v>313</v>
      </c>
      <c r="N64" s="42" t="s">
        <v>399</v>
      </c>
      <c r="O64" s="42" t="s">
        <v>316</v>
      </c>
      <c r="P64" s="42" t="str">
        <f>TESTI!F10</f>
        <v>Hope aveva già capito tutto. Eppure bastò una bugia elegante per rimandare la verità di qualche ora.
Sotto la luna di Barcellona, desiderio e colpa si confondono fino a diventare la stessa cosa. Ma il corpo ricorda anche quello che le parole cercano di nascondere.
Hope è l'ottavo capitolo di Notti Fugaci: una notte intensa e il prezzo silenzioso delle scelte.
Trovi il libro completo dal link nel profilo.
🌐 https://diaridipelle.it/notti-fugaci.html
📕 Cartaceo: https://www.amazon.it/dp/B0GRWP3X7C
📱 Kindle: https://www.amazon.it/dp/B0GRWP6PMK
#DiariDiPelle #NottiFugaci #Hope #NarrativaPsicologica #LibriItaliani</v>
      </c>
      <c r="Q64" s="64" t="str">
        <f>TESTI!J10</f>
        <v>https://diaridipelle.it/notti-fugaci.html</v>
      </c>
      <c r="R64" s="42" t="s">
        <v>188</v>
      </c>
      <c r="S64" s="60" t="s">
        <v>140</v>
      </c>
      <c r="T64" s="60" t="s">
        <v>124</v>
      </c>
      <c r="U64" s="42" t="s">
        <v>351</v>
      </c>
      <c r="V64" s="42" t="str">
        <f t="shared" si="2"/>
        <v/>
      </c>
    </row>
    <row r="65" ht="78.0" customHeight="1">
      <c r="A65" s="60" t="s">
        <v>729</v>
      </c>
      <c r="B65" s="60">
        <v>5.0</v>
      </c>
      <c r="C65" s="61">
        <f>CAMPAGNE!F11</f>
        <v>46267</v>
      </c>
      <c r="D65" s="62">
        <v>0.75</v>
      </c>
      <c r="E65" s="63">
        <f>CAMPAGNE!H11</f>
        <v>46272</v>
      </c>
      <c r="F65" s="60" t="str">
        <f t="shared" si="1"/>
        <v>Lunedì</v>
      </c>
      <c r="G65" s="62">
        <v>0.8333333333333334</v>
      </c>
      <c r="H65" s="60" t="s">
        <v>128</v>
      </c>
      <c r="I65" s="60" t="s">
        <v>131</v>
      </c>
      <c r="J65" s="42" t="s">
        <v>132</v>
      </c>
      <c r="K65" s="60" t="s">
        <v>292</v>
      </c>
      <c r="L65" s="42" t="s">
        <v>293</v>
      </c>
      <c r="M65" s="42" t="s">
        <v>135</v>
      </c>
      <c r="N65" s="42" t="s">
        <v>413</v>
      </c>
      <c r="O65" s="42" t="s">
        <v>414</v>
      </c>
      <c r="P65" s="42" t="str">
        <f>TESTI!E11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#DiariDiPelle #NottiFugaci #Loida #Relazioni #NarrativaContemporanea</v>
      </c>
      <c r="Q65" s="64" t="str">
        <f>TESTI!J11</f>
        <v>https://diaridipelle.it/notti-fugaci.html</v>
      </c>
      <c r="R65" s="42" t="s">
        <v>139</v>
      </c>
      <c r="S65" s="60" t="s">
        <v>140</v>
      </c>
      <c r="T65" s="60" t="s">
        <v>124</v>
      </c>
      <c r="U65" s="42" t="s">
        <v>142</v>
      </c>
      <c r="V65" s="42" t="str">
        <f t="shared" si="2"/>
        <v/>
      </c>
    </row>
    <row r="66" ht="78.0" customHeight="1">
      <c r="A66" s="60" t="s">
        <v>730</v>
      </c>
      <c r="B66" s="60">
        <v>5.0</v>
      </c>
      <c r="C66" s="61">
        <f>CAMPAGNE!F11</f>
        <v>46267</v>
      </c>
      <c r="D66" s="62">
        <v>0.75</v>
      </c>
      <c r="E66" s="63">
        <f>CAMPAGNE!H11</f>
        <v>46272</v>
      </c>
      <c r="F66" s="60" t="str">
        <f t="shared" si="1"/>
        <v>Lunedì</v>
      </c>
      <c r="G66" s="62">
        <v>0.8333333333333334</v>
      </c>
      <c r="H66" s="60" t="s">
        <v>152</v>
      </c>
      <c r="I66" s="60" t="s">
        <v>131</v>
      </c>
      <c r="J66" s="42" t="s">
        <v>132</v>
      </c>
      <c r="K66" s="60" t="s">
        <v>292</v>
      </c>
      <c r="L66" s="42" t="s">
        <v>293</v>
      </c>
      <c r="M66" s="42" t="s">
        <v>172</v>
      </c>
      <c r="N66" s="42" t="s">
        <v>413</v>
      </c>
      <c r="O66" s="42" t="s">
        <v>414</v>
      </c>
      <c r="P66" s="42" t="str">
        <f>TESTI!F11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 https://diaridipelle.it/notti-fugaci.html
📕 Cartaceo: https://www.amazon.it/dp/B0GRWP3X7C
📱 Kindle: https://www.amazon.it/dp/B0GRWP6PMK
#DiariDiPelle #NottiFugaci #Loida #Relazioni #NarrativaContemporanea</v>
      </c>
      <c r="Q66" s="64" t="str">
        <f>TESTI!J11</f>
        <v>https://diaridipelle.it/notti-fugaci.html</v>
      </c>
      <c r="R66" s="42" t="s">
        <v>188</v>
      </c>
      <c r="S66" s="60" t="s">
        <v>140</v>
      </c>
      <c r="T66" s="60" t="s">
        <v>124</v>
      </c>
      <c r="U66" s="42" t="s">
        <v>193</v>
      </c>
      <c r="V66" s="42" t="str">
        <f t="shared" si="2"/>
        <v/>
      </c>
    </row>
    <row r="67" ht="78.0" customHeight="1">
      <c r="A67" s="60" t="s">
        <v>731</v>
      </c>
      <c r="B67" s="60">
        <v>5.0</v>
      </c>
      <c r="C67" s="61">
        <f>CAMPAGNE!G11</f>
        <v>46267</v>
      </c>
      <c r="D67" s="62">
        <v>0.75</v>
      </c>
      <c r="E67" s="63">
        <f>CAMPAGNE!H11</f>
        <v>46272</v>
      </c>
      <c r="F67" s="60" t="str">
        <f t="shared" si="1"/>
        <v>Lunedì</v>
      </c>
      <c r="G67" s="62">
        <v>0.8333333333333334</v>
      </c>
      <c r="H67" s="60" t="s">
        <v>213</v>
      </c>
      <c r="I67" s="60" t="s">
        <v>111</v>
      </c>
      <c r="J67" s="42" t="s">
        <v>132</v>
      </c>
      <c r="K67" s="60" t="s">
        <v>292</v>
      </c>
      <c r="L67" s="42" t="s">
        <v>293</v>
      </c>
      <c r="M67" s="42" t="s">
        <v>223</v>
      </c>
      <c r="N67" s="42" t="s">
        <v>413</v>
      </c>
      <c r="O67" s="42" t="s">
        <v>414</v>
      </c>
      <c r="P67" s="42" t="str">
        <f>TESTI!G11</f>
        <v>Loida era il nodo rimasto aperto mentre tutto il resto accadeva.
«Loida» da Notti Fugaci.
Scopri il libro dal link in bio.
#DiariDiPelle #NottiFugaci #BookTokItalia #LibriTikTok</v>
      </c>
      <c r="Q67" s="64" t="str">
        <f>TESTI!J11</f>
        <v>https://diaridipelle.it/notti-fugaci.html</v>
      </c>
      <c r="R67" s="42" t="s">
        <v>138</v>
      </c>
      <c r="S67" s="60" t="s">
        <v>231</v>
      </c>
      <c r="T67" s="60" t="s">
        <v>124</v>
      </c>
      <c r="U67" s="42" t="s">
        <v>234</v>
      </c>
      <c r="V67" s="42" t="str">
        <f t="shared" si="2"/>
        <v/>
      </c>
    </row>
    <row r="68" ht="78.0" customHeight="1">
      <c r="A68" s="60" t="s">
        <v>732</v>
      </c>
      <c r="B68" s="60">
        <v>5.0</v>
      </c>
      <c r="C68" s="61">
        <f>CAMPAGNE!I11</f>
        <v>46273</v>
      </c>
      <c r="D68" s="62">
        <v>0.4965277777777778</v>
      </c>
      <c r="E68" s="63">
        <f>CAMPAGNE!I11</f>
        <v>46273</v>
      </c>
      <c r="F68" s="60" t="str">
        <f t="shared" si="1"/>
        <v>Martedì</v>
      </c>
      <c r="G68" s="62">
        <v>0.5</v>
      </c>
      <c r="H68" s="60" t="s">
        <v>128</v>
      </c>
      <c r="I68" s="60" t="s">
        <v>170</v>
      </c>
      <c r="J68" s="42" t="s">
        <v>132</v>
      </c>
      <c r="K68" s="60" t="s">
        <v>292</v>
      </c>
      <c r="L68" s="42" t="s">
        <v>293</v>
      </c>
      <c r="M68" s="42" t="s">
        <v>252</v>
      </c>
      <c r="N68" s="42" t="s">
        <v>415</v>
      </c>
      <c r="O68" s="42" t="s">
        <v>733</v>
      </c>
      <c r="P68" s="42" t="str">
        <f>TESTI!N11</f>
        <v>Tocca SCOPRI IL LIBRO e scegli cartaceo o Kindle.</v>
      </c>
      <c r="Q68" s="64" t="str">
        <f>TESTI!H11</f>
        <v>https://diaridipelle.it/notti-fugaci.html?utm_source=instagram&amp;utm_medium=story&amp;utm_campaign=notti_fugaci&amp;utm_content=ch09</v>
      </c>
      <c r="R68" s="42" t="s">
        <v>139</v>
      </c>
      <c r="S68" s="60" t="s">
        <v>79</v>
      </c>
      <c r="T68" s="60" t="s">
        <v>124</v>
      </c>
      <c r="U68" s="42" t="s">
        <v>262</v>
      </c>
      <c r="V68" s="42" t="str">
        <f t="shared" si="2"/>
        <v/>
      </c>
    </row>
    <row r="69" ht="78.0" customHeight="1">
      <c r="A69" s="60" t="s">
        <v>734</v>
      </c>
      <c r="B69" s="60">
        <v>5.0</v>
      </c>
      <c r="C69" s="61">
        <f>CAMPAGNE!F11</f>
        <v>46267</v>
      </c>
      <c r="D69" s="62">
        <v>0.75</v>
      </c>
      <c r="E69" s="63">
        <f>CAMPAGNE!I11</f>
        <v>46273</v>
      </c>
      <c r="F69" s="60" t="str">
        <f t="shared" si="1"/>
        <v>Martedì</v>
      </c>
      <c r="G69" s="62">
        <v>0.5</v>
      </c>
      <c r="H69" s="60" t="s">
        <v>152</v>
      </c>
      <c r="I69" s="60" t="s">
        <v>170</v>
      </c>
      <c r="J69" s="42" t="s">
        <v>132</v>
      </c>
      <c r="K69" s="60" t="s">
        <v>292</v>
      </c>
      <c r="L69" s="42" t="s">
        <v>293</v>
      </c>
      <c r="M69" s="42" t="s">
        <v>285</v>
      </c>
      <c r="N69" s="42" t="s">
        <v>415</v>
      </c>
      <c r="O69" s="42" t="s">
        <v>733</v>
      </c>
      <c r="P69" s="42" t="str">
        <f>TESTI!N11</f>
        <v>Tocca SCOPRI IL LIBRO e scegli cartaceo o Kindle.</v>
      </c>
      <c r="Q69" s="64" t="str">
        <f>TESTI!I11</f>
        <v>https://diaridipelle.it/notti-fugaci.html?utm_source=facebook&amp;utm_medium=story&amp;utm_campaign=notti_fugaci&amp;utm_content=ch09</v>
      </c>
      <c r="R69" s="42" t="s">
        <v>188</v>
      </c>
      <c r="S69" s="60" t="s">
        <v>140</v>
      </c>
      <c r="T69" s="60" t="s">
        <v>124</v>
      </c>
      <c r="U69" s="42" t="s">
        <v>294</v>
      </c>
      <c r="V69" s="42" t="str">
        <f t="shared" si="2"/>
        <v/>
      </c>
    </row>
    <row r="70" ht="78.0" customHeight="1">
      <c r="A70" s="60" t="s">
        <v>735</v>
      </c>
      <c r="B70" s="60">
        <v>5.0</v>
      </c>
      <c r="C70" s="61">
        <f>CAMPAGNE!F11</f>
        <v>46267</v>
      </c>
      <c r="D70" s="62">
        <v>0.75</v>
      </c>
      <c r="E70" s="63">
        <f>CAMPAGNE!J11</f>
        <v>46274</v>
      </c>
      <c r="F70" s="60" t="str">
        <f t="shared" si="1"/>
        <v>Mercoledì</v>
      </c>
      <c r="G70" s="62">
        <v>0.4583333333333333</v>
      </c>
      <c r="H70" s="60" t="s">
        <v>128</v>
      </c>
      <c r="I70" s="60" t="s">
        <v>119</v>
      </c>
      <c r="J70" s="42" t="s">
        <v>132</v>
      </c>
      <c r="K70" s="60" t="s">
        <v>292</v>
      </c>
      <c r="L70" s="42" t="s">
        <v>293</v>
      </c>
      <c r="M70" s="42" t="s">
        <v>313</v>
      </c>
      <c r="N70" s="42" t="s">
        <v>416</v>
      </c>
      <c r="O70" s="42" t="s">
        <v>316</v>
      </c>
      <c r="P70" s="42" t="str">
        <f>TESTI!E11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#DiariDiPelle #NottiFugaci #Loida #Relazioni #NarrativaContemporanea</v>
      </c>
      <c r="Q70" s="64" t="str">
        <f>TESTI!J11</f>
        <v>https://diaridipelle.it/notti-fugaci.html</v>
      </c>
      <c r="R70" s="42" t="s">
        <v>139</v>
      </c>
      <c r="S70" s="60" t="s">
        <v>140</v>
      </c>
      <c r="T70" s="60" t="s">
        <v>124</v>
      </c>
      <c r="U70" s="42" t="s">
        <v>328</v>
      </c>
      <c r="V70" s="42" t="str">
        <f t="shared" si="2"/>
        <v/>
      </c>
    </row>
    <row r="71" ht="78.0" customHeight="1">
      <c r="A71" s="60" t="s">
        <v>736</v>
      </c>
      <c r="B71" s="60">
        <v>5.0</v>
      </c>
      <c r="C71" s="61">
        <f>CAMPAGNE!F11</f>
        <v>46267</v>
      </c>
      <c r="D71" s="62">
        <v>0.75</v>
      </c>
      <c r="E71" s="63">
        <f>CAMPAGNE!J11</f>
        <v>46274</v>
      </c>
      <c r="F71" s="60" t="str">
        <f t="shared" si="1"/>
        <v>Mercoledì</v>
      </c>
      <c r="G71" s="62">
        <v>0.4583333333333333</v>
      </c>
      <c r="H71" s="60" t="s">
        <v>152</v>
      </c>
      <c r="I71" s="60" t="s">
        <v>119</v>
      </c>
      <c r="J71" s="42" t="s">
        <v>132</v>
      </c>
      <c r="K71" s="60" t="s">
        <v>292</v>
      </c>
      <c r="L71" s="42" t="s">
        <v>293</v>
      </c>
      <c r="M71" s="42" t="s">
        <v>313</v>
      </c>
      <c r="N71" s="42" t="s">
        <v>416</v>
      </c>
      <c r="O71" s="42" t="s">
        <v>316</v>
      </c>
      <c r="P71" s="42" t="str">
        <f>TESTI!F11</f>
        <v>Loida era il nodo rimasto aperto mentre tutto il resto accadeva.
Desiderarsi e trattenersi. Cercarsi e poi fuggire. Restare sospesi in quel mezzo che finisce per consumare entrambi.
Il nono capitolo di Notti Fugaci racconta un incontro tra due libertà che non riescono ancora a scegliere la stessa direzione.
Scopri la storia completa dal link nel profilo. Disponibile in cartaceo e Kindle.
🌐 https://diaridipelle.it/notti-fugaci.html
📕 Cartaceo: https://www.amazon.it/dp/B0GRWP3X7C
📱 Kindle: https://www.amazon.it/dp/B0GRWP6PMK
#DiariDiPelle #NottiFugaci #Loida #Relazioni #NarrativaContemporanea</v>
      </c>
      <c r="Q71" s="64" t="str">
        <f>TESTI!J11</f>
        <v>https://diaridipelle.it/notti-fugaci.html</v>
      </c>
      <c r="R71" s="42" t="s">
        <v>188</v>
      </c>
      <c r="S71" s="60" t="s">
        <v>140</v>
      </c>
      <c r="T71" s="60" t="s">
        <v>124</v>
      </c>
      <c r="U71" s="42" t="s">
        <v>351</v>
      </c>
      <c r="V71" s="42" t="str">
        <f t="shared" si="2"/>
        <v/>
      </c>
    </row>
    <row r="72" ht="78.0" customHeight="1">
      <c r="A72" s="60" t="s">
        <v>737</v>
      </c>
      <c r="B72" s="60">
        <v>6.0</v>
      </c>
      <c r="C72" s="61">
        <f>CAMPAGNE!F12</f>
        <v>46267</v>
      </c>
      <c r="D72" s="62">
        <v>0.75</v>
      </c>
      <c r="E72" s="63">
        <f>CAMPAGNE!H12</f>
        <v>46276</v>
      </c>
      <c r="F72" s="60" t="str">
        <f t="shared" si="1"/>
        <v>Venerdì</v>
      </c>
      <c r="G72" s="62">
        <v>0.8333333333333334</v>
      </c>
      <c r="H72" s="60" t="s">
        <v>128</v>
      </c>
      <c r="I72" s="60" t="s">
        <v>131</v>
      </c>
      <c r="J72" s="42" t="s">
        <v>132</v>
      </c>
      <c r="K72" s="60" t="s">
        <v>308</v>
      </c>
      <c r="L72" s="42" t="s">
        <v>309</v>
      </c>
      <c r="M72" s="42" t="s">
        <v>135</v>
      </c>
      <c r="N72" s="42" t="s">
        <v>426</v>
      </c>
      <c r="O72" s="42" t="s">
        <v>428</v>
      </c>
      <c r="P72" s="42" t="str">
        <f>TESTI!E12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#DiariDiPelle #NottiFugaci #Florencia #LibriDaLeggere #NarrativaItaliana</v>
      </c>
      <c r="Q72" s="64" t="str">
        <f>TESTI!J12</f>
        <v>https://diaridipelle.it/notti-fugaci.html</v>
      </c>
      <c r="R72" s="42" t="s">
        <v>139</v>
      </c>
      <c r="S72" s="60" t="s">
        <v>140</v>
      </c>
      <c r="T72" s="60" t="s">
        <v>124</v>
      </c>
      <c r="U72" s="42" t="s">
        <v>142</v>
      </c>
      <c r="V72" s="42" t="str">
        <f t="shared" si="2"/>
        <v/>
      </c>
    </row>
    <row r="73" ht="78.0" customHeight="1">
      <c r="A73" s="60" t="s">
        <v>738</v>
      </c>
      <c r="B73" s="60">
        <v>6.0</v>
      </c>
      <c r="C73" s="61">
        <f>CAMPAGNE!F12</f>
        <v>46267</v>
      </c>
      <c r="D73" s="62">
        <v>0.75</v>
      </c>
      <c r="E73" s="63">
        <f>CAMPAGNE!H12</f>
        <v>46276</v>
      </c>
      <c r="F73" s="60" t="str">
        <f t="shared" si="1"/>
        <v>Venerdì</v>
      </c>
      <c r="G73" s="62">
        <v>0.8333333333333334</v>
      </c>
      <c r="H73" s="60" t="s">
        <v>152</v>
      </c>
      <c r="I73" s="60" t="s">
        <v>131</v>
      </c>
      <c r="J73" s="42" t="s">
        <v>132</v>
      </c>
      <c r="K73" s="60" t="s">
        <v>308</v>
      </c>
      <c r="L73" s="42" t="s">
        <v>309</v>
      </c>
      <c r="M73" s="42" t="s">
        <v>172</v>
      </c>
      <c r="N73" s="42" t="s">
        <v>426</v>
      </c>
      <c r="O73" s="42" t="s">
        <v>428</v>
      </c>
      <c r="P73" s="42" t="str">
        <f>TESTI!F12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 https://diaridipelle.it/notti-fugaci.html
📕 Cartaceo: https://www.amazon.it/dp/B0GRWP3X7C
📱 Kindle: https://www.amazon.it/dp/B0GRWP6PMK
#DiariDiPelle #NottiFugaci #Florencia #LibriDaLeggere #NarrativaItaliana</v>
      </c>
      <c r="Q73" s="64" t="str">
        <f>TESTI!J12</f>
        <v>https://diaridipelle.it/notti-fugaci.html</v>
      </c>
      <c r="R73" s="42" t="s">
        <v>188</v>
      </c>
      <c r="S73" s="60" t="s">
        <v>140</v>
      </c>
      <c r="T73" s="60" t="s">
        <v>124</v>
      </c>
      <c r="U73" s="42" t="s">
        <v>193</v>
      </c>
      <c r="V73" s="42" t="str">
        <f t="shared" si="2"/>
        <v/>
      </c>
    </row>
    <row r="74" ht="78.0" customHeight="1">
      <c r="A74" s="60" t="s">
        <v>739</v>
      </c>
      <c r="B74" s="60">
        <v>6.0</v>
      </c>
      <c r="C74" s="61">
        <f>CAMPAGNE!G12</f>
        <v>46274</v>
      </c>
      <c r="D74" s="62">
        <v>0.75</v>
      </c>
      <c r="E74" s="63">
        <f>CAMPAGNE!H12</f>
        <v>46276</v>
      </c>
      <c r="F74" s="60" t="str">
        <f t="shared" si="1"/>
        <v>Venerdì</v>
      </c>
      <c r="G74" s="62">
        <v>0.8333333333333334</v>
      </c>
      <c r="H74" s="60" t="s">
        <v>213</v>
      </c>
      <c r="I74" s="60" t="s">
        <v>111</v>
      </c>
      <c r="J74" s="42" t="s">
        <v>132</v>
      </c>
      <c r="K74" s="60" t="s">
        <v>308</v>
      </c>
      <c r="L74" s="42" t="s">
        <v>309</v>
      </c>
      <c r="M74" s="42" t="s">
        <v>223</v>
      </c>
      <c r="N74" s="42" t="s">
        <v>426</v>
      </c>
      <c r="O74" s="42" t="s">
        <v>428</v>
      </c>
      <c r="P74" s="42" t="str">
        <f>TESTI!G12</f>
        <v>Florencia non è soltanto l'ultima notte. È il momento in cui il viaggio smette di essere una fuga e diventa memoria.
«Florencia» da Notti Fugaci.
Scopri il libro dal link in bio.
#DiariDiPelle #NottiFugaci #BookTokItalia #LibriTikTok</v>
      </c>
      <c r="Q74" s="64" t="str">
        <f>TESTI!J12</f>
        <v>https://diaridipelle.it/notti-fugaci.html</v>
      </c>
      <c r="R74" s="42" t="s">
        <v>138</v>
      </c>
      <c r="S74" s="60" t="s">
        <v>231</v>
      </c>
      <c r="T74" s="60" t="s">
        <v>124</v>
      </c>
      <c r="U74" s="42" t="s">
        <v>234</v>
      </c>
      <c r="V74" s="42" t="str">
        <f t="shared" si="2"/>
        <v/>
      </c>
    </row>
    <row r="75" ht="78.0" customHeight="1">
      <c r="A75" s="60" t="s">
        <v>740</v>
      </c>
      <c r="B75" s="60">
        <v>6.0</v>
      </c>
      <c r="C75" s="61">
        <f>CAMPAGNE!I12</f>
        <v>46277</v>
      </c>
      <c r="D75" s="62">
        <v>0.4965277777777778</v>
      </c>
      <c r="E75" s="63">
        <f>CAMPAGNE!I12</f>
        <v>46277</v>
      </c>
      <c r="F75" s="60" t="str">
        <f t="shared" si="1"/>
        <v>Sabato</v>
      </c>
      <c r="G75" s="62">
        <v>0.5</v>
      </c>
      <c r="H75" s="60" t="s">
        <v>128</v>
      </c>
      <c r="I75" s="60" t="s">
        <v>170</v>
      </c>
      <c r="J75" s="42" t="s">
        <v>132</v>
      </c>
      <c r="K75" s="60" t="s">
        <v>308</v>
      </c>
      <c r="L75" s="42" t="s">
        <v>309</v>
      </c>
      <c r="M75" s="42" t="s">
        <v>252</v>
      </c>
      <c r="N75" s="42" t="s">
        <v>429</v>
      </c>
      <c r="O75" s="42" t="s">
        <v>741</v>
      </c>
      <c r="P75" s="42" t="str">
        <f>TESTI!N12</f>
        <v>Tocca SCOPRI IL LIBRO e scegli cartaceo o Kindle.</v>
      </c>
      <c r="Q75" s="64" t="str">
        <f>TESTI!H12</f>
        <v>https://diaridipelle.it/notti-fugaci.html?utm_source=instagram&amp;utm_medium=story&amp;utm_campaign=notti_fugaci&amp;utm_content=ch10</v>
      </c>
      <c r="R75" s="42" t="s">
        <v>139</v>
      </c>
      <c r="S75" s="60" t="s">
        <v>79</v>
      </c>
      <c r="T75" s="60" t="s">
        <v>124</v>
      </c>
      <c r="U75" s="42" t="s">
        <v>262</v>
      </c>
      <c r="V75" s="42" t="str">
        <f t="shared" si="2"/>
        <v/>
      </c>
    </row>
    <row r="76" ht="78.0" customHeight="1">
      <c r="A76" s="60" t="s">
        <v>742</v>
      </c>
      <c r="B76" s="60">
        <v>6.0</v>
      </c>
      <c r="C76" s="61">
        <f>CAMPAGNE!F12</f>
        <v>46267</v>
      </c>
      <c r="D76" s="62">
        <v>0.75</v>
      </c>
      <c r="E76" s="63">
        <f>CAMPAGNE!I12</f>
        <v>46277</v>
      </c>
      <c r="F76" s="60" t="str">
        <f t="shared" si="1"/>
        <v>Sabato</v>
      </c>
      <c r="G76" s="62">
        <v>0.5</v>
      </c>
      <c r="H76" s="60" t="s">
        <v>152</v>
      </c>
      <c r="I76" s="60" t="s">
        <v>170</v>
      </c>
      <c r="J76" s="42" t="s">
        <v>132</v>
      </c>
      <c r="K76" s="60" t="s">
        <v>308</v>
      </c>
      <c r="L76" s="42" t="s">
        <v>309</v>
      </c>
      <c r="M76" s="42" t="s">
        <v>285</v>
      </c>
      <c r="N76" s="42" t="s">
        <v>429</v>
      </c>
      <c r="O76" s="42" t="s">
        <v>741</v>
      </c>
      <c r="P76" s="42" t="str">
        <f>TESTI!N12</f>
        <v>Tocca SCOPRI IL LIBRO e scegli cartaceo o Kindle.</v>
      </c>
      <c r="Q76" s="64" t="str">
        <f>TESTI!I12</f>
        <v>https://diaridipelle.it/notti-fugaci.html?utm_source=facebook&amp;utm_medium=story&amp;utm_campaign=notti_fugaci&amp;utm_content=ch10</v>
      </c>
      <c r="R76" s="42" t="s">
        <v>188</v>
      </c>
      <c r="S76" s="60" t="s">
        <v>140</v>
      </c>
      <c r="T76" s="60" t="s">
        <v>124</v>
      </c>
      <c r="U76" s="42" t="s">
        <v>294</v>
      </c>
      <c r="V76" s="42" t="str">
        <f t="shared" si="2"/>
        <v/>
      </c>
    </row>
    <row r="77" ht="78.0" customHeight="1">
      <c r="A77" s="60" t="s">
        <v>743</v>
      </c>
      <c r="B77" s="60">
        <v>6.0</v>
      </c>
      <c r="C77" s="61">
        <f>CAMPAGNE!F12</f>
        <v>46267</v>
      </c>
      <c r="D77" s="62">
        <v>0.75</v>
      </c>
      <c r="E77" s="63">
        <f>CAMPAGNE!J12</f>
        <v>46278</v>
      </c>
      <c r="F77" s="60" t="str">
        <f t="shared" si="1"/>
        <v>Domenica</v>
      </c>
      <c r="G77" s="62">
        <v>0.8333333333333334</v>
      </c>
      <c r="H77" s="60" t="s">
        <v>128</v>
      </c>
      <c r="I77" s="60" t="s">
        <v>119</v>
      </c>
      <c r="J77" s="42" t="s">
        <v>132</v>
      </c>
      <c r="K77" s="60" t="s">
        <v>308</v>
      </c>
      <c r="L77" s="42" t="s">
        <v>309</v>
      </c>
      <c r="M77" s="42" t="s">
        <v>313</v>
      </c>
      <c r="N77" s="42" t="s">
        <v>430</v>
      </c>
      <c r="O77" s="42" t="s">
        <v>316</v>
      </c>
      <c r="P77" s="42" t="str">
        <f>TESTI!E12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#DiariDiPelle #NottiFugaci #Florencia #LibriDaLeggere #NarrativaItaliana</v>
      </c>
      <c r="Q77" s="64" t="str">
        <f>TESTI!J12</f>
        <v>https://diaridipelle.it/notti-fugaci.html</v>
      </c>
      <c r="R77" s="42" t="s">
        <v>139</v>
      </c>
      <c r="S77" s="60" t="s">
        <v>140</v>
      </c>
      <c r="T77" s="60" t="s">
        <v>124</v>
      </c>
      <c r="U77" s="42" t="s">
        <v>328</v>
      </c>
      <c r="V77" s="42" t="str">
        <f t="shared" si="2"/>
        <v/>
      </c>
    </row>
    <row r="78" ht="78.0" customHeight="1">
      <c r="A78" s="60" t="s">
        <v>744</v>
      </c>
      <c r="B78" s="60">
        <v>6.0</v>
      </c>
      <c r="C78" s="61">
        <f>CAMPAGNE!F12</f>
        <v>46267</v>
      </c>
      <c r="D78" s="62">
        <v>0.75</v>
      </c>
      <c r="E78" s="63">
        <f>CAMPAGNE!J12</f>
        <v>46278</v>
      </c>
      <c r="F78" s="60" t="str">
        <f t="shared" si="1"/>
        <v>Domenica</v>
      </c>
      <c r="G78" s="62">
        <v>0.8333333333333334</v>
      </c>
      <c r="H78" s="60" t="s">
        <v>152</v>
      </c>
      <c r="I78" s="60" t="s">
        <v>119</v>
      </c>
      <c r="J78" s="42" t="s">
        <v>132</v>
      </c>
      <c r="K78" s="60" t="s">
        <v>308</v>
      </c>
      <c r="L78" s="42" t="s">
        <v>309</v>
      </c>
      <c r="M78" s="42" t="s">
        <v>313</v>
      </c>
      <c r="N78" s="42" t="s">
        <v>430</v>
      </c>
      <c r="O78" s="42" t="s">
        <v>316</v>
      </c>
      <c r="P78" s="42" t="str">
        <f>TESTI!F12</f>
        <v>Florencia non è soltanto l'ultima notte. È il momento in cui il viaggio smette di essere una fuga e diventa memoria.
Non possediamo le persone, le città o il tempo. Possiamo soltanto attraversarli e accettare ciò che lasciano sulla pelle.
Il decimo capitolo chiude Notti Fugaci, ma apre il mondo di Diari di Pelle: altri legami, altri errori, altre verità che non possono più essere rimandate.
Inizia la collana dal link nel profilo.
🌐 https://diaridipelle.it/notti-fugaci.html
📕 Cartaceo: https://www.amazon.it/dp/B0GRWP3X7C
📱 Kindle: https://www.amazon.it/dp/B0GRWP6PMK
#DiariDiPelle #NottiFugaci #Florencia #LibriDaLeggere #NarrativaItaliana</v>
      </c>
      <c r="Q78" s="64" t="str">
        <f>TESTI!J12</f>
        <v>https://diaridipelle.it/notti-fugaci.html</v>
      </c>
      <c r="R78" s="42" t="s">
        <v>188</v>
      </c>
      <c r="S78" s="60" t="s">
        <v>140</v>
      </c>
      <c r="T78" s="60" t="s">
        <v>124</v>
      </c>
      <c r="U78" s="42" t="s">
        <v>351</v>
      </c>
      <c r="V78" s="42" t="str">
        <f t="shared" si="2"/>
        <v/>
      </c>
    </row>
    <row r="79" ht="78.0" customHeight="1">
      <c r="A79" s="60" t="s">
        <v>745</v>
      </c>
      <c r="B79" s="60">
        <v>6.0</v>
      </c>
      <c r="C79" s="61">
        <f>CAMPAGNE!F13</f>
        <v>46267</v>
      </c>
      <c r="D79" s="62">
        <v>0.75</v>
      </c>
      <c r="E79" s="63">
        <f>CAMPAGNE!H13</f>
        <v>46279</v>
      </c>
      <c r="F79" s="60" t="str">
        <f t="shared" si="1"/>
        <v>Lunedì</v>
      </c>
      <c r="G79" s="62">
        <v>0.8333333333333334</v>
      </c>
      <c r="H79" s="60" t="s">
        <v>128</v>
      </c>
      <c r="I79" s="60" t="s">
        <v>131</v>
      </c>
      <c r="J79" s="42" t="s">
        <v>320</v>
      </c>
      <c r="K79" s="60" t="s">
        <v>133</v>
      </c>
      <c r="L79" s="42" t="s">
        <v>320</v>
      </c>
      <c r="M79" s="42" t="s">
        <v>135</v>
      </c>
      <c r="N79" s="42" t="s">
        <v>439</v>
      </c>
      <c r="O79" s="42" t="s">
        <v>441</v>
      </c>
      <c r="P79" s="42" t="str">
        <f>TESTI!E13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#DiariDiPelle #IntrecciSbagliati #NarrativaItaliana #NarrativaPsicologica #LibriDaLeggere</v>
      </c>
      <c r="Q79" s="64" t="str">
        <f>TESTI!J13</f>
        <v>https://diaridipelle.it/intrecci-sbagliati.html</v>
      </c>
      <c r="R79" s="42" t="s">
        <v>139</v>
      </c>
      <c r="S79" s="60" t="s">
        <v>140</v>
      </c>
      <c r="T79" s="60" t="s">
        <v>124</v>
      </c>
      <c r="U79" s="42" t="s">
        <v>142</v>
      </c>
      <c r="V79" s="42" t="str">
        <f t="shared" si="2"/>
        <v/>
      </c>
    </row>
    <row r="80" ht="78.0" customHeight="1">
      <c r="A80" s="60" t="s">
        <v>746</v>
      </c>
      <c r="B80" s="60">
        <v>6.0</v>
      </c>
      <c r="C80" s="61">
        <f>CAMPAGNE!F13</f>
        <v>46267</v>
      </c>
      <c r="D80" s="62">
        <v>0.75</v>
      </c>
      <c r="E80" s="63">
        <f>CAMPAGNE!H13</f>
        <v>46279</v>
      </c>
      <c r="F80" s="60" t="str">
        <f t="shared" si="1"/>
        <v>Lunedì</v>
      </c>
      <c r="G80" s="62">
        <v>0.8333333333333334</v>
      </c>
      <c r="H80" s="60" t="s">
        <v>152</v>
      </c>
      <c r="I80" s="60" t="s">
        <v>131</v>
      </c>
      <c r="J80" s="42" t="s">
        <v>320</v>
      </c>
      <c r="K80" s="60" t="s">
        <v>133</v>
      </c>
      <c r="L80" s="42" t="s">
        <v>320</v>
      </c>
      <c r="M80" s="42" t="s">
        <v>172</v>
      </c>
      <c r="N80" s="42" t="s">
        <v>439</v>
      </c>
      <c r="O80" s="42" t="s">
        <v>441</v>
      </c>
      <c r="P80" s="42" t="str">
        <f>TESTI!F13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 https://diaridipelle.it/intrecci-sbagliati.html
📕 Cartaceo: https://www.amazon.it/dp/B0GX27ZJ1L
📱 Kindle: https://www.amazon.it/dp/B0GX2JR3F6
#DiariDiPelle #IntrecciSbagliati #NarrativaItaliana #NarrativaPsicologica #LibriDaLeggere</v>
      </c>
      <c r="Q80" s="64" t="str">
        <f>TESTI!J13</f>
        <v>https://diaridipelle.it/intrecci-sbagliati.html</v>
      </c>
      <c r="R80" s="42" t="s">
        <v>188</v>
      </c>
      <c r="S80" s="60" t="s">
        <v>140</v>
      </c>
      <c r="T80" s="60" t="s">
        <v>124</v>
      </c>
      <c r="U80" s="42" t="s">
        <v>193</v>
      </c>
      <c r="V80" s="42" t="str">
        <f t="shared" si="2"/>
        <v/>
      </c>
    </row>
    <row r="81" ht="78.0" customHeight="1">
      <c r="A81" s="60" t="s">
        <v>747</v>
      </c>
      <c r="B81" s="60">
        <v>6.0</v>
      </c>
      <c r="C81" s="61">
        <f>CAMPAGNE!G13</f>
        <v>46274</v>
      </c>
      <c r="D81" s="62">
        <v>0.75</v>
      </c>
      <c r="E81" s="63">
        <f>CAMPAGNE!H13</f>
        <v>46279</v>
      </c>
      <c r="F81" s="60" t="str">
        <f t="shared" si="1"/>
        <v>Lunedì</v>
      </c>
      <c r="G81" s="62">
        <v>0.8333333333333334</v>
      </c>
      <c r="H81" s="60" t="s">
        <v>213</v>
      </c>
      <c r="I81" s="60" t="s">
        <v>111</v>
      </c>
      <c r="J81" s="42" t="s">
        <v>320</v>
      </c>
      <c r="K81" s="60" t="s">
        <v>133</v>
      </c>
      <c r="L81" s="42" t="s">
        <v>320</v>
      </c>
      <c r="M81" s="42" t="s">
        <v>223</v>
      </c>
      <c r="N81" s="42" t="s">
        <v>439</v>
      </c>
      <c r="O81" s="42" t="s">
        <v>441</v>
      </c>
      <c r="P81" s="42" t="str">
        <f>TESTI!G13</f>
        <v>Una notte non basta più. Ne vuoi un'altra, e un'altra ancora, finché ogni incontro comincia a produrre conseguenze.
«Intrecci Sbagliati» da Intrecci Sbagliati.
Scopri il libro dal link in bio.
#DiariDiPelle #IntrecciSbagliati #BookTokItalia #LibriTikTok</v>
      </c>
      <c r="Q81" s="64" t="str">
        <f>TESTI!J13</f>
        <v>https://diaridipelle.it/intrecci-sbagliati.html</v>
      </c>
      <c r="R81" s="42" t="s">
        <v>138</v>
      </c>
      <c r="S81" s="60" t="s">
        <v>231</v>
      </c>
      <c r="T81" s="60" t="s">
        <v>124</v>
      </c>
      <c r="U81" s="42" t="s">
        <v>234</v>
      </c>
      <c r="V81" s="42" t="str">
        <f t="shared" si="2"/>
        <v/>
      </c>
    </row>
    <row r="82" ht="78.0" customHeight="1">
      <c r="A82" s="60" t="s">
        <v>748</v>
      </c>
      <c r="B82" s="60">
        <v>6.0</v>
      </c>
      <c r="C82" s="61">
        <f>CAMPAGNE!I13</f>
        <v>46280</v>
      </c>
      <c r="D82" s="62">
        <v>0.4965277777777778</v>
      </c>
      <c r="E82" s="63">
        <f>CAMPAGNE!I13</f>
        <v>46280</v>
      </c>
      <c r="F82" s="60" t="str">
        <f t="shared" si="1"/>
        <v>Martedì</v>
      </c>
      <c r="G82" s="62">
        <v>0.5</v>
      </c>
      <c r="H82" s="60" t="s">
        <v>128</v>
      </c>
      <c r="I82" s="60" t="s">
        <v>170</v>
      </c>
      <c r="J82" s="42" t="s">
        <v>320</v>
      </c>
      <c r="K82" s="60" t="s">
        <v>133</v>
      </c>
      <c r="L82" s="42" t="s">
        <v>320</v>
      </c>
      <c r="M82" s="42" t="s">
        <v>252</v>
      </c>
      <c r="N82" s="42" t="s">
        <v>442</v>
      </c>
      <c r="O82" s="42" t="s">
        <v>749</v>
      </c>
      <c r="P82" s="42" t="str">
        <f>TESTI!N13</f>
        <v>Tocca SCOPRI IL LIBRO e scegli cartaceo o Kindle.</v>
      </c>
      <c r="Q82" s="64" t="str">
        <f>TESTI!H13</f>
        <v>https://diaridipelle.it/intrecci-sbagliati.html?utm_source=instagram&amp;utm_medium=story&amp;utm_campaign=intrecci_sbagliati&amp;utm_content=trailer</v>
      </c>
      <c r="R82" s="42" t="s">
        <v>139</v>
      </c>
      <c r="S82" s="60" t="s">
        <v>79</v>
      </c>
      <c r="T82" s="60" t="s">
        <v>124</v>
      </c>
      <c r="U82" s="42" t="s">
        <v>262</v>
      </c>
      <c r="V82" s="42" t="str">
        <f t="shared" si="2"/>
        <v/>
      </c>
    </row>
    <row r="83" ht="78.0" customHeight="1">
      <c r="A83" s="60" t="s">
        <v>750</v>
      </c>
      <c r="B83" s="60">
        <v>6.0</v>
      </c>
      <c r="C83" s="61">
        <f>CAMPAGNE!F13</f>
        <v>46267</v>
      </c>
      <c r="D83" s="62">
        <v>0.75</v>
      </c>
      <c r="E83" s="63">
        <f>CAMPAGNE!I13</f>
        <v>46280</v>
      </c>
      <c r="F83" s="60" t="str">
        <f t="shared" si="1"/>
        <v>Martedì</v>
      </c>
      <c r="G83" s="62">
        <v>0.5</v>
      </c>
      <c r="H83" s="60" t="s">
        <v>152</v>
      </c>
      <c r="I83" s="60" t="s">
        <v>170</v>
      </c>
      <c r="J83" s="42" t="s">
        <v>320</v>
      </c>
      <c r="K83" s="60" t="s">
        <v>133</v>
      </c>
      <c r="L83" s="42" t="s">
        <v>320</v>
      </c>
      <c r="M83" s="42" t="s">
        <v>285</v>
      </c>
      <c r="N83" s="42" t="s">
        <v>442</v>
      </c>
      <c r="O83" s="42" t="s">
        <v>749</v>
      </c>
      <c r="P83" s="42" t="str">
        <f>TESTI!N13</f>
        <v>Tocca SCOPRI IL LIBRO e scegli cartaceo o Kindle.</v>
      </c>
      <c r="Q83" s="64" t="str">
        <f>TESTI!I13</f>
        <v>https://diaridipelle.it/intrecci-sbagliati.html?utm_source=facebook&amp;utm_medium=story&amp;utm_campaign=intrecci_sbagliati&amp;utm_content=trailer</v>
      </c>
      <c r="R83" s="42" t="s">
        <v>188</v>
      </c>
      <c r="S83" s="60" t="s">
        <v>140</v>
      </c>
      <c r="T83" s="60" t="s">
        <v>124</v>
      </c>
      <c r="U83" s="42" t="s">
        <v>294</v>
      </c>
      <c r="V83" s="42" t="str">
        <f t="shared" si="2"/>
        <v/>
      </c>
    </row>
    <row r="84" ht="78.0" customHeight="1">
      <c r="A84" s="60" t="s">
        <v>751</v>
      </c>
      <c r="B84" s="60">
        <v>6.0</v>
      </c>
      <c r="C84" s="61">
        <f>CAMPAGNE!F13</f>
        <v>46267</v>
      </c>
      <c r="D84" s="62">
        <v>0.75</v>
      </c>
      <c r="E84" s="63">
        <f>CAMPAGNE!J13</f>
        <v>46281</v>
      </c>
      <c r="F84" s="60" t="str">
        <f t="shared" si="1"/>
        <v>Mercoledì</v>
      </c>
      <c r="G84" s="62">
        <v>0.4583333333333333</v>
      </c>
      <c r="H84" s="60" t="s">
        <v>128</v>
      </c>
      <c r="I84" s="60" t="s">
        <v>119</v>
      </c>
      <c r="J84" s="42" t="s">
        <v>320</v>
      </c>
      <c r="K84" s="60" t="s">
        <v>133</v>
      </c>
      <c r="L84" s="42" t="s">
        <v>320</v>
      </c>
      <c r="M84" s="42" t="s">
        <v>313</v>
      </c>
      <c r="N84" s="42" t="s">
        <v>444</v>
      </c>
      <c r="O84" s="42" t="s">
        <v>316</v>
      </c>
      <c r="P84" s="42" t="str">
        <f>TESTI!E13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#DiariDiPelle #IntrecciSbagliati #NarrativaItaliana #NarrativaPsicologica #LibriDaLeggere</v>
      </c>
      <c r="Q84" s="64" t="str">
        <f>TESTI!J13</f>
        <v>https://diaridipelle.it/intrecci-sbagliati.html</v>
      </c>
      <c r="R84" s="42" t="s">
        <v>139</v>
      </c>
      <c r="S84" s="60" t="s">
        <v>140</v>
      </c>
      <c r="T84" s="60" t="s">
        <v>124</v>
      </c>
      <c r="U84" s="42" t="s">
        <v>328</v>
      </c>
      <c r="V84" s="42" t="str">
        <f t="shared" si="2"/>
        <v/>
      </c>
    </row>
    <row r="85" ht="78.0" customHeight="1">
      <c r="A85" s="60" t="s">
        <v>752</v>
      </c>
      <c r="B85" s="60">
        <v>6.0</v>
      </c>
      <c r="C85" s="61">
        <f>CAMPAGNE!F13</f>
        <v>46267</v>
      </c>
      <c r="D85" s="62">
        <v>0.75</v>
      </c>
      <c r="E85" s="63">
        <f>CAMPAGNE!J13</f>
        <v>46281</v>
      </c>
      <c r="F85" s="60" t="str">
        <f t="shared" si="1"/>
        <v>Mercoledì</v>
      </c>
      <c r="G85" s="62">
        <v>0.4583333333333333</v>
      </c>
      <c r="H85" s="60" t="s">
        <v>152</v>
      </c>
      <c r="I85" s="60" t="s">
        <v>119</v>
      </c>
      <c r="J85" s="42" t="s">
        <v>320</v>
      </c>
      <c r="K85" s="60" t="s">
        <v>133</v>
      </c>
      <c r="L85" s="42" t="s">
        <v>320</v>
      </c>
      <c r="M85" s="42" t="s">
        <v>313</v>
      </c>
      <c r="N85" s="42" t="s">
        <v>444</v>
      </c>
      <c r="O85" s="42" t="s">
        <v>316</v>
      </c>
      <c r="P85" s="42" t="str">
        <f>TESTI!F13</f>
        <v>Una notte non basta più. Ne vuoi un'altra, e un'altra ancora, finché ogni incontro comincia a produrre conseguenze.
Intrecci Sbagliati è il secondo volume di Diari di Pelle: dieci storie di desiderio, memoria, dipendenza e legami che continuano a parlare anche quando sembrano finiti.
Disponibile in versione cartacea e Kindle. Scoprilo dal link nel profilo.
🌐 https://diaridipelle.it/intrecci-sbagliati.html
📕 Cartaceo: https://www.amazon.it/dp/B0GX27ZJ1L
📱 Kindle: https://www.amazon.it/dp/B0GX2JR3F6
#DiariDiPelle #IntrecciSbagliati #NarrativaItaliana #NarrativaPsicologica #LibriDaLeggere</v>
      </c>
      <c r="Q85" s="64" t="str">
        <f>TESTI!J13</f>
        <v>https://diaridipelle.it/intrecci-sbagliati.html</v>
      </c>
      <c r="R85" s="42" t="s">
        <v>188</v>
      </c>
      <c r="S85" s="60" t="s">
        <v>140</v>
      </c>
      <c r="T85" s="60" t="s">
        <v>124</v>
      </c>
      <c r="U85" s="42" t="s">
        <v>351</v>
      </c>
      <c r="V85" s="42" t="str">
        <f t="shared" si="2"/>
        <v/>
      </c>
    </row>
    <row r="86" ht="78.0" customHeight="1">
      <c r="A86" s="60" t="s">
        <v>753</v>
      </c>
      <c r="B86" s="60">
        <v>7.0</v>
      </c>
      <c r="C86" s="61">
        <f>CAMPAGNE!F14</f>
        <v>46267</v>
      </c>
      <c r="D86" s="62">
        <v>0.75</v>
      </c>
      <c r="E86" s="63">
        <f>CAMPAGNE!H14</f>
        <v>46283</v>
      </c>
      <c r="F86" s="60" t="str">
        <f t="shared" si="1"/>
        <v>Venerdì</v>
      </c>
      <c r="G86" s="62">
        <v>0.8333333333333334</v>
      </c>
      <c r="H86" s="60" t="s">
        <v>128</v>
      </c>
      <c r="I86" s="60" t="s">
        <v>131</v>
      </c>
      <c r="J86" s="42" t="s">
        <v>320</v>
      </c>
      <c r="K86" s="60" t="s">
        <v>189</v>
      </c>
      <c r="L86" s="42" t="s">
        <v>338</v>
      </c>
      <c r="M86" s="42" t="s">
        <v>135</v>
      </c>
      <c r="N86" s="42" t="s">
        <v>451</v>
      </c>
      <c r="O86" s="42" t="s">
        <v>452</v>
      </c>
      <c r="P86" s="42" t="str">
        <f>TESTI!E14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#DiariDiPelle #IntrecciSbagliati #Héloïse #Relazioni #NarrativaContemporanea</v>
      </c>
      <c r="Q86" s="64" t="str">
        <f>TESTI!J14</f>
        <v>https://diaridipelle.it/intrecci-sbagliati.html</v>
      </c>
      <c r="R86" s="42" t="s">
        <v>139</v>
      </c>
      <c r="S86" s="60" t="s">
        <v>140</v>
      </c>
      <c r="T86" s="60" t="s">
        <v>124</v>
      </c>
      <c r="U86" s="42" t="s">
        <v>142</v>
      </c>
      <c r="V86" s="42" t="str">
        <f t="shared" si="2"/>
        <v/>
      </c>
    </row>
    <row r="87" ht="78.0" customHeight="1">
      <c r="A87" s="60" t="s">
        <v>754</v>
      </c>
      <c r="B87" s="60">
        <v>7.0</v>
      </c>
      <c r="C87" s="61">
        <f>CAMPAGNE!F14</f>
        <v>46267</v>
      </c>
      <c r="D87" s="62">
        <v>0.75</v>
      </c>
      <c r="E87" s="63">
        <f>CAMPAGNE!H14</f>
        <v>46283</v>
      </c>
      <c r="F87" s="60" t="str">
        <f t="shared" si="1"/>
        <v>Venerdì</v>
      </c>
      <c r="G87" s="62">
        <v>0.8333333333333334</v>
      </c>
      <c r="H87" s="60" t="s">
        <v>152</v>
      </c>
      <c r="I87" s="60" t="s">
        <v>131</v>
      </c>
      <c r="J87" s="42" t="s">
        <v>320</v>
      </c>
      <c r="K87" s="60" t="s">
        <v>189</v>
      </c>
      <c r="L87" s="42" t="s">
        <v>338</v>
      </c>
      <c r="M87" s="42" t="s">
        <v>172</v>
      </c>
      <c r="N87" s="42" t="s">
        <v>451</v>
      </c>
      <c r="O87" s="42" t="s">
        <v>452</v>
      </c>
      <c r="P87" s="42" t="str">
        <f>TESTI!F14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 https://diaridipelle.it/intrecci-sbagliati.html
📕 Cartaceo: https://www.amazon.it/dp/B0GX27ZJ1L
📱 Kindle: https://www.amazon.it/dp/B0GX2JR3F6
#DiariDiPelle #IntrecciSbagliati #Héloïse #Relazioni #NarrativaContemporanea</v>
      </c>
      <c r="Q87" s="64" t="str">
        <f>TESTI!J14</f>
        <v>https://diaridipelle.it/intrecci-sbagliati.html</v>
      </c>
      <c r="R87" s="42" t="s">
        <v>188</v>
      </c>
      <c r="S87" s="60" t="s">
        <v>140</v>
      </c>
      <c r="T87" s="60" t="s">
        <v>124</v>
      </c>
      <c r="U87" s="42" t="s">
        <v>193</v>
      </c>
      <c r="V87" s="42" t="str">
        <f t="shared" si="2"/>
        <v/>
      </c>
    </row>
    <row r="88" ht="78.0" customHeight="1">
      <c r="A88" s="60" t="s">
        <v>755</v>
      </c>
      <c r="B88" s="60">
        <v>7.0</v>
      </c>
      <c r="C88" s="61">
        <f>CAMPAGNE!G14</f>
        <v>46281</v>
      </c>
      <c r="D88" s="62">
        <v>0.75</v>
      </c>
      <c r="E88" s="63">
        <f>CAMPAGNE!H14</f>
        <v>46283</v>
      </c>
      <c r="F88" s="60" t="str">
        <f t="shared" si="1"/>
        <v>Venerdì</v>
      </c>
      <c r="G88" s="62">
        <v>0.8333333333333334</v>
      </c>
      <c r="H88" s="60" t="s">
        <v>213</v>
      </c>
      <c r="I88" s="60" t="s">
        <v>111</v>
      </c>
      <c r="J88" s="42" t="s">
        <v>320</v>
      </c>
      <c r="K88" s="60" t="s">
        <v>189</v>
      </c>
      <c r="L88" s="42" t="s">
        <v>338</v>
      </c>
      <c r="M88" s="42" t="s">
        <v>223</v>
      </c>
      <c r="N88" s="42" t="s">
        <v>451</v>
      </c>
      <c r="O88" s="42" t="s">
        <v>452</v>
      </c>
      <c r="P88" s="42" t="str">
        <f>TESTI!G14</f>
        <v>Al ritorno da Barcellona, una busta infilata nella porta e un nome scritto più volte cambiano il ritmo della residenza.
«Héloïse» da Intrecci Sbagliati.
Scopri il libro dal link in bio.
#DiariDiPelle #IntrecciSbagliati #BookTokItalia #LibriTikTok</v>
      </c>
      <c r="Q88" s="64" t="str">
        <f>TESTI!J14</f>
        <v>https://diaridipelle.it/intrecci-sbagliati.html</v>
      </c>
      <c r="R88" s="42" t="s">
        <v>138</v>
      </c>
      <c r="S88" s="60" t="s">
        <v>231</v>
      </c>
      <c r="T88" s="60" t="s">
        <v>124</v>
      </c>
      <c r="U88" s="42" t="s">
        <v>234</v>
      </c>
      <c r="V88" s="42" t="str">
        <f t="shared" si="2"/>
        <v/>
      </c>
    </row>
    <row r="89" ht="78.0" customHeight="1">
      <c r="A89" s="60" t="s">
        <v>756</v>
      </c>
      <c r="B89" s="60">
        <v>7.0</v>
      </c>
      <c r="C89" s="61">
        <f>CAMPAGNE!I14</f>
        <v>46284</v>
      </c>
      <c r="D89" s="62">
        <v>0.4965277777777778</v>
      </c>
      <c r="E89" s="63">
        <f>CAMPAGNE!I14</f>
        <v>46284</v>
      </c>
      <c r="F89" s="60" t="str">
        <f t="shared" si="1"/>
        <v>Sabato</v>
      </c>
      <c r="G89" s="62">
        <v>0.5</v>
      </c>
      <c r="H89" s="60" t="s">
        <v>128</v>
      </c>
      <c r="I89" s="60" t="s">
        <v>170</v>
      </c>
      <c r="J89" s="42" t="s">
        <v>320</v>
      </c>
      <c r="K89" s="60" t="s">
        <v>189</v>
      </c>
      <c r="L89" s="42" t="s">
        <v>338</v>
      </c>
      <c r="M89" s="42" t="s">
        <v>252</v>
      </c>
      <c r="N89" s="42" t="s">
        <v>453</v>
      </c>
      <c r="O89" s="42" t="s">
        <v>757</v>
      </c>
      <c r="P89" s="42" t="str">
        <f>TESTI!N14</f>
        <v>Tocca SCOPRI IL LIBRO e scegli cartaceo o Kindle.</v>
      </c>
      <c r="Q89" s="64" t="str">
        <f>TESTI!H14</f>
        <v>https://diaridipelle.it/intrecci-sbagliati.html?utm_source=instagram&amp;utm_medium=story&amp;utm_campaign=intrecci_sbagliati&amp;utm_content=ch01</v>
      </c>
      <c r="R89" s="42" t="s">
        <v>139</v>
      </c>
      <c r="S89" s="60" t="s">
        <v>79</v>
      </c>
      <c r="T89" s="60" t="s">
        <v>124</v>
      </c>
      <c r="U89" s="42" t="s">
        <v>262</v>
      </c>
      <c r="V89" s="42" t="str">
        <f t="shared" si="2"/>
        <v/>
      </c>
    </row>
    <row r="90" ht="78.0" customHeight="1">
      <c r="A90" s="60" t="s">
        <v>758</v>
      </c>
      <c r="B90" s="60">
        <v>7.0</v>
      </c>
      <c r="C90" s="61">
        <f>CAMPAGNE!F14</f>
        <v>46267</v>
      </c>
      <c r="D90" s="62">
        <v>0.75</v>
      </c>
      <c r="E90" s="63">
        <f>CAMPAGNE!I14</f>
        <v>46284</v>
      </c>
      <c r="F90" s="60" t="str">
        <f t="shared" si="1"/>
        <v>Sabato</v>
      </c>
      <c r="G90" s="62">
        <v>0.5</v>
      </c>
      <c r="H90" s="60" t="s">
        <v>152</v>
      </c>
      <c r="I90" s="60" t="s">
        <v>170</v>
      </c>
      <c r="J90" s="42" t="s">
        <v>320</v>
      </c>
      <c r="K90" s="60" t="s">
        <v>189</v>
      </c>
      <c r="L90" s="42" t="s">
        <v>338</v>
      </c>
      <c r="M90" s="42" t="s">
        <v>285</v>
      </c>
      <c r="N90" s="42" t="s">
        <v>453</v>
      </c>
      <c r="O90" s="42" t="s">
        <v>757</v>
      </c>
      <c r="P90" s="42" t="str">
        <f>TESTI!N14</f>
        <v>Tocca SCOPRI IL LIBRO e scegli cartaceo o Kindle.</v>
      </c>
      <c r="Q90" s="64" t="str">
        <f>TESTI!I14</f>
        <v>https://diaridipelle.it/intrecci-sbagliati.html?utm_source=facebook&amp;utm_medium=story&amp;utm_campaign=intrecci_sbagliati&amp;utm_content=ch01</v>
      </c>
      <c r="R90" s="42" t="s">
        <v>188</v>
      </c>
      <c r="S90" s="60" t="s">
        <v>140</v>
      </c>
      <c r="T90" s="60" t="s">
        <v>124</v>
      </c>
      <c r="U90" s="42" t="s">
        <v>294</v>
      </c>
      <c r="V90" s="42" t="str">
        <f t="shared" si="2"/>
        <v/>
      </c>
    </row>
    <row r="91" ht="78.0" customHeight="1">
      <c r="A91" s="60" t="s">
        <v>759</v>
      </c>
      <c r="B91" s="60">
        <v>7.0</v>
      </c>
      <c r="C91" s="61">
        <f>CAMPAGNE!F14</f>
        <v>46267</v>
      </c>
      <c r="D91" s="62">
        <v>0.75</v>
      </c>
      <c r="E91" s="63">
        <f>CAMPAGNE!J14</f>
        <v>46285</v>
      </c>
      <c r="F91" s="60" t="str">
        <f t="shared" si="1"/>
        <v>Domenica</v>
      </c>
      <c r="G91" s="62">
        <v>0.8333333333333334</v>
      </c>
      <c r="H91" s="60" t="s">
        <v>128</v>
      </c>
      <c r="I91" s="60" t="s">
        <v>119</v>
      </c>
      <c r="J91" s="42" t="s">
        <v>320</v>
      </c>
      <c r="K91" s="60" t="s">
        <v>189</v>
      </c>
      <c r="L91" s="42" t="s">
        <v>338</v>
      </c>
      <c r="M91" s="42" t="s">
        <v>313</v>
      </c>
      <c r="N91" s="42" t="s">
        <v>454</v>
      </c>
      <c r="O91" s="42" t="s">
        <v>316</v>
      </c>
      <c r="P91" s="42" t="str">
        <f>TESTI!E14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#DiariDiPelle #IntrecciSbagliati #Héloïse #Relazioni #NarrativaContemporanea</v>
      </c>
      <c r="Q91" s="64" t="str">
        <f>TESTI!J14</f>
        <v>https://diaridipelle.it/intrecci-sbagliati.html</v>
      </c>
      <c r="R91" s="42" t="s">
        <v>139</v>
      </c>
      <c r="S91" s="60" t="s">
        <v>140</v>
      </c>
      <c r="T91" s="60" t="s">
        <v>124</v>
      </c>
      <c r="U91" s="42" t="s">
        <v>328</v>
      </c>
      <c r="V91" s="42" t="str">
        <f t="shared" si="2"/>
        <v/>
      </c>
    </row>
    <row r="92" ht="78.0" customHeight="1">
      <c r="A92" s="60" t="s">
        <v>760</v>
      </c>
      <c r="B92" s="60">
        <v>7.0</v>
      </c>
      <c r="C92" s="61">
        <f>CAMPAGNE!F14</f>
        <v>46267</v>
      </c>
      <c r="D92" s="62">
        <v>0.75</v>
      </c>
      <c r="E92" s="63">
        <f>CAMPAGNE!J14</f>
        <v>46285</v>
      </c>
      <c r="F92" s="60" t="str">
        <f t="shared" si="1"/>
        <v>Domenica</v>
      </c>
      <c r="G92" s="62">
        <v>0.8333333333333334</v>
      </c>
      <c r="H92" s="60" t="s">
        <v>152</v>
      </c>
      <c r="I92" s="60" t="s">
        <v>119</v>
      </c>
      <c r="J92" s="42" t="s">
        <v>320</v>
      </c>
      <c r="K92" s="60" t="s">
        <v>189</v>
      </c>
      <c r="L92" s="42" t="s">
        <v>338</v>
      </c>
      <c r="M92" s="42" t="s">
        <v>313</v>
      </c>
      <c r="N92" s="42" t="s">
        <v>454</v>
      </c>
      <c r="O92" s="42" t="s">
        <v>316</v>
      </c>
      <c r="P92" s="42" t="str">
        <f>TESTI!F14</f>
        <v>Al ritorno da Barcellona, una busta infilata nella porta e un nome scritto più volte cambiano il ritmo della residenza.
Con Héloïse l'amicizia diventa desiderio, ma il punto più delicato non è il gioco: è scoprire di essere entrati in un copione senza averlo letto.
Il primo capitolo di Intrecci Sbagliati apre il momento in cui le notti smettono di essere soltanto fugaci e iniziano ad avere conseguenze.
Scopri il libro dal link nel profilo.
🌐 https://diaridipelle.it/intrecci-sbagliati.html
📕 Cartaceo: https://www.amazon.it/dp/B0GX27ZJ1L
📱 Kindle: https://www.amazon.it/dp/B0GX2JR3F6
#DiariDiPelle #IntrecciSbagliati #Héloïse #Relazioni #NarrativaContemporanea</v>
      </c>
      <c r="Q92" s="64" t="str">
        <f>TESTI!J14</f>
        <v>https://diaridipelle.it/intrecci-sbagliati.html</v>
      </c>
      <c r="R92" s="42" t="s">
        <v>188</v>
      </c>
      <c r="S92" s="60" t="s">
        <v>140</v>
      </c>
      <c r="T92" s="60" t="s">
        <v>124</v>
      </c>
      <c r="U92" s="42" t="s">
        <v>351</v>
      </c>
      <c r="V92" s="42" t="str">
        <f t="shared" si="2"/>
        <v/>
      </c>
    </row>
    <row r="93" ht="78.0" customHeight="1">
      <c r="A93" s="60" t="s">
        <v>761</v>
      </c>
      <c r="B93" s="60">
        <v>7.0</v>
      </c>
      <c r="C93" s="61">
        <f>CAMPAGNE!F15</f>
        <v>46267</v>
      </c>
      <c r="D93" s="62">
        <v>0.75</v>
      </c>
      <c r="E93" s="63">
        <f>CAMPAGNE!H15</f>
        <v>46286</v>
      </c>
      <c r="F93" s="60" t="str">
        <f t="shared" si="1"/>
        <v>Lunedì</v>
      </c>
      <c r="G93" s="62">
        <v>0.8333333333333334</v>
      </c>
      <c r="H93" s="60" t="s">
        <v>128</v>
      </c>
      <c r="I93" s="60" t="s">
        <v>131</v>
      </c>
      <c r="J93" s="42" t="s">
        <v>320</v>
      </c>
      <c r="K93" s="60" t="s">
        <v>201</v>
      </c>
      <c r="L93" s="42" t="s">
        <v>353</v>
      </c>
      <c r="M93" s="42" t="s">
        <v>135</v>
      </c>
      <c r="N93" s="42" t="s">
        <v>461</v>
      </c>
      <c r="O93" s="42" t="s">
        <v>463</v>
      </c>
      <c r="P93" s="42" t="str">
        <f>TESTI!E15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#DiariDiPelle #IntrecciSbagliati #Greta #Libertà #LibriItaliani</v>
      </c>
      <c r="Q93" s="64" t="str">
        <f>TESTI!J15</f>
        <v>https://diaridipelle.it/intrecci-sbagliati.html</v>
      </c>
      <c r="R93" s="42" t="s">
        <v>139</v>
      </c>
      <c r="S93" s="60" t="s">
        <v>140</v>
      </c>
      <c r="T93" s="60" t="s">
        <v>124</v>
      </c>
      <c r="U93" s="42" t="s">
        <v>142</v>
      </c>
      <c r="V93" s="42" t="str">
        <f t="shared" si="2"/>
        <v/>
      </c>
    </row>
    <row r="94" ht="78.0" customHeight="1">
      <c r="A94" s="60" t="s">
        <v>762</v>
      </c>
      <c r="B94" s="60">
        <v>7.0</v>
      </c>
      <c r="C94" s="61">
        <f>CAMPAGNE!F15</f>
        <v>46267</v>
      </c>
      <c r="D94" s="62">
        <v>0.75</v>
      </c>
      <c r="E94" s="63">
        <f>CAMPAGNE!H15</f>
        <v>46286</v>
      </c>
      <c r="F94" s="60" t="str">
        <f t="shared" si="1"/>
        <v>Lunedì</v>
      </c>
      <c r="G94" s="62">
        <v>0.8333333333333334</v>
      </c>
      <c r="H94" s="60" t="s">
        <v>152</v>
      </c>
      <c r="I94" s="60" t="s">
        <v>131</v>
      </c>
      <c r="J94" s="42" t="s">
        <v>320</v>
      </c>
      <c r="K94" s="60" t="s">
        <v>201</v>
      </c>
      <c r="L94" s="42" t="s">
        <v>353</v>
      </c>
      <c r="M94" s="42" t="s">
        <v>172</v>
      </c>
      <c r="N94" s="42" t="s">
        <v>461</v>
      </c>
      <c r="O94" s="42" t="s">
        <v>463</v>
      </c>
      <c r="P94" s="42" t="str">
        <f>TESTI!F15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 https://diaridipelle.it/intrecci-sbagliati.html
📕 Cartaceo: https://www.amazon.it/dp/B0GX27ZJ1L
📱 Kindle: https://www.amazon.it/dp/B0GX2JR3F6
#DiariDiPelle #IntrecciSbagliati #Greta #Libertà #LibriItaliani</v>
      </c>
      <c r="Q94" s="64" t="str">
        <f>TESTI!J15</f>
        <v>https://diaridipelle.it/intrecci-sbagliati.html</v>
      </c>
      <c r="R94" s="42" t="s">
        <v>188</v>
      </c>
      <c r="S94" s="60" t="s">
        <v>140</v>
      </c>
      <c r="T94" s="60" t="s">
        <v>124</v>
      </c>
      <c r="U94" s="42" t="s">
        <v>193</v>
      </c>
      <c r="V94" s="42" t="str">
        <f t="shared" si="2"/>
        <v/>
      </c>
    </row>
    <row r="95" ht="78.0" customHeight="1">
      <c r="A95" s="60" t="s">
        <v>763</v>
      </c>
      <c r="B95" s="60">
        <v>7.0</v>
      </c>
      <c r="C95" s="61">
        <f>CAMPAGNE!G15</f>
        <v>46281</v>
      </c>
      <c r="D95" s="62">
        <v>0.75</v>
      </c>
      <c r="E95" s="63">
        <f>CAMPAGNE!H15</f>
        <v>46286</v>
      </c>
      <c r="F95" s="60" t="str">
        <f t="shared" si="1"/>
        <v>Lunedì</v>
      </c>
      <c r="G95" s="62">
        <v>0.8333333333333334</v>
      </c>
      <c r="H95" s="60" t="s">
        <v>213</v>
      </c>
      <c r="I95" s="60" t="s">
        <v>111</v>
      </c>
      <c r="J95" s="42" t="s">
        <v>320</v>
      </c>
      <c r="K95" s="60" t="s">
        <v>201</v>
      </c>
      <c r="L95" s="42" t="s">
        <v>353</v>
      </c>
      <c r="M95" s="42" t="s">
        <v>223</v>
      </c>
      <c r="N95" s="42" t="s">
        <v>461</v>
      </c>
      <c r="O95" s="42" t="s">
        <v>463</v>
      </c>
      <c r="P95" s="42" t="str">
        <f>TESTI!G15</f>
        <v>Greta sembrava trasformare ogni stanza nel proprio centro senza fare nulla per esserlo.
«Greta» da Intrecci Sbagliati.
Scopri il libro dal link in bio.
#DiariDiPelle #IntrecciSbagliati #BookTokItalia #LibriTikTok</v>
      </c>
      <c r="Q95" s="64" t="str">
        <f>TESTI!J15</f>
        <v>https://diaridipelle.it/intrecci-sbagliati.html</v>
      </c>
      <c r="R95" s="42" t="s">
        <v>138</v>
      </c>
      <c r="S95" s="60" t="s">
        <v>231</v>
      </c>
      <c r="T95" s="60" t="s">
        <v>124</v>
      </c>
      <c r="U95" s="42" t="s">
        <v>234</v>
      </c>
      <c r="V95" s="42" t="str">
        <f t="shared" si="2"/>
        <v/>
      </c>
    </row>
    <row r="96" ht="78.0" customHeight="1">
      <c r="A96" s="60" t="s">
        <v>764</v>
      </c>
      <c r="B96" s="60">
        <v>7.0</v>
      </c>
      <c r="C96" s="61">
        <f>CAMPAGNE!I15</f>
        <v>46287</v>
      </c>
      <c r="D96" s="62">
        <v>0.4965277777777778</v>
      </c>
      <c r="E96" s="63">
        <f>CAMPAGNE!I15</f>
        <v>46287</v>
      </c>
      <c r="F96" s="60" t="str">
        <f t="shared" si="1"/>
        <v>Martedì</v>
      </c>
      <c r="G96" s="62">
        <v>0.5</v>
      </c>
      <c r="H96" s="60" t="s">
        <v>128</v>
      </c>
      <c r="I96" s="60" t="s">
        <v>170</v>
      </c>
      <c r="J96" s="42" t="s">
        <v>320</v>
      </c>
      <c r="K96" s="60" t="s">
        <v>201</v>
      </c>
      <c r="L96" s="42" t="s">
        <v>353</v>
      </c>
      <c r="M96" s="42" t="s">
        <v>252</v>
      </c>
      <c r="N96" s="42" t="s">
        <v>464</v>
      </c>
      <c r="O96" s="42" t="s">
        <v>765</v>
      </c>
      <c r="P96" s="42" t="str">
        <f>TESTI!N15</f>
        <v>Tocca SCOPRI IL LIBRO e scegli cartaceo o Kindle.</v>
      </c>
      <c r="Q96" s="64" t="str">
        <f>TESTI!H15</f>
        <v>https://diaridipelle.it/intrecci-sbagliati.html?utm_source=instagram&amp;utm_medium=story&amp;utm_campaign=intrecci_sbagliati&amp;utm_content=ch02</v>
      </c>
      <c r="R96" s="42" t="s">
        <v>139</v>
      </c>
      <c r="S96" s="60" t="s">
        <v>79</v>
      </c>
      <c r="T96" s="60" t="s">
        <v>124</v>
      </c>
      <c r="U96" s="42" t="s">
        <v>262</v>
      </c>
      <c r="V96" s="42" t="str">
        <f t="shared" si="2"/>
        <v/>
      </c>
    </row>
    <row r="97" ht="78.0" customHeight="1">
      <c r="A97" s="60" t="s">
        <v>766</v>
      </c>
      <c r="B97" s="60">
        <v>7.0</v>
      </c>
      <c r="C97" s="61">
        <f>CAMPAGNE!F15</f>
        <v>46267</v>
      </c>
      <c r="D97" s="62">
        <v>0.75</v>
      </c>
      <c r="E97" s="63">
        <f>CAMPAGNE!I15</f>
        <v>46287</v>
      </c>
      <c r="F97" s="60" t="str">
        <f t="shared" si="1"/>
        <v>Martedì</v>
      </c>
      <c r="G97" s="62">
        <v>0.5</v>
      </c>
      <c r="H97" s="60" t="s">
        <v>152</v>
      </c>
      <c r="I97" s="60" t="s">
        <v>170</v>
      </c>
      <c r="J97" s="42" t="s">
        <v>320</v>
      </c>
      <c r="K97" s="60" t="s">
        <v>201</v>
      </c>
      <c r="L97" s="42" t="s">
        <v>353</v>
      </c>
      <c r="M97" s="42" t="s">
        <v>285</v>
      </c>
      <c r="N97" s="42" t="s">
        <v>464</v>
      </c>
      <c r="O97" s="42" t="s">
        <v>765</v>
      </c>
      <c r="P97" s="42" t="str">
        <f>TESTI!N15</f>
        <v>Tocca SCOPRI IL LIBRO e scegli cartaceo o Kindle.</v>
      </c>
      <c r="Q97" s="64" t="str">
        <f>TESTI!I15</f>
        <v>https://diaridipelle.it/intrecci-sbagliati.html?utm_source=facebook&amp;utm_medium=story&amp;utm_campaign=intrecci_sbagliati&amp;utm_content=ch02</v>
      </c>
      <c r="R97" s="42" t="s">
        <v>188</v>
      </c>
      <c r="S97" s="60" t="s">
        <v>140</v>
      </c>
      <c r="T97" s="60" t="s">
        <v>124</v>
      </c>
      <c r="U97" s="42" t="s">
        <v>294</v>
      </c>
      <c r="V97" s="42" t="str">
        <f t="shared" si="2"/>
        <v/>
      </c>
    </row>
    <row r="98" ht="78.0" customHeight="1">
      <c r="A98" s="60" t="s">
        <v>767</v>
      </c>
      <c r="B98" s="60">
        <v>7.0</v>
      </c>
      <c r="C98" s="61">
        <f>CAMPAGNE!F15</f>
        <v>46267</v>
      </c>
      <c r="D98" s="62">
        <v>0.75</v>
      </c>
      <c r="E98" s="63">
        <f>CAMPAGNE!J15</f>
        <v>46288</v>
      </c>
      <c r="F98" s="60" t="str">
        <f t="shared" si="1"/>
        <v>Mercoledì</v>
      </c>
      <c r="G98" s="62">
        <v>0.4583333333333333</v>
      </c>
      <c r="H98" s="60" t="s">
        <v>128</v>
      </c>
      <c r="I98" s="60" t="s">
        <v>119</v>
      </c>
      <c r="J98" s="42" t="s">
        <v>320</v>
      </c>
      <c r="K98" s="60" t="s">
        <v>201</v>
      </c>
      <c r="L98" s="42" t="s">
        <v>353</v>
      </c>
      <c r="M98" s="42" t="s">
        <v>313</v>
      </c>
      <c r="N98" s="42" t="s">
        <v>465</v>
      </c>
      <c r="O98" s="42" t="s">
        <v>316</v>
      </c>
      <c r="P98" s="42" t="str">
        <f>TESTI!E15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#DiariDiPelle #IntrecciSbagliati #Greta #Libertà #LibriItaliani</v>
      </c>
      <c r="Q98" s="64" t="str">
        <f>TESTI!J15</f>
        <v>https://diaridipelle.it/intrecci-sbagliati.html</v>
      </c>
      <c r="R98" s="42" t="s">
        <v>139</v>
      </c>
      <c r="S98" s="60" t="s">
        <v>140</v>
      </c>
      <c r="T98" s="60" t="s">
        <v>124</v>
      </c>
      <c r="U98" s="42" t="s">
        <v>328</v>
      </c>
      <c r="V98" s="42" t="str">
        <f t="shared" si="2"/>
        <v/>
      </c>
    </row>
    <row r="99" ht="78.0" customHeight="1">
      <c r="A99" s="60" t="s">
        <v>768</v>
      </c>
      <c r="B99" s="60">
        <v>7.0</v>
      </c>
      <c r="C99" s="61">
        <f>CAMPAGNE!F15</f>
        <v>46267</v>
      </c>
      <c r="D99" s="62">
        <v>0.75</v>
      </c>
      <c r="E99" s="63">
        <f>CAMPAGNE!J15</f>
        <v>46288</v>
      </c>
      <c r="F99" s="60" t="str">
        <f t="shared" si="1"/>
        <v>Mercoledì</v>
      </c>
      <c r="G99" s="62">
        <v>0.4583333333333333</v>
      </c>
      <c r="H99" s="60" t="s">
        <v>152</v>
      </c>
      <c r="I99" s="60" t="s">
        <v>119</v>
      </c>
      <c r="J99" s="42" t="s">
        <v>320</v>
      </c>
      <c r="K99" s="60" t="s">
        <v>201</v>
      </c>
      <c r="L99" s="42" t="s">
        <v>353</v>
      </c>
      <c r="M99" s="42" t="s">
        <v>313</v>
      </c>
      <c r="N99" s="42" t="s">
        <v>465</v>
      </c>
      <c r="O99" s="42" t="s">
        <v>316</v>
      </c>
      <c r="P99" s="42" t="str">
        <f>TESTI!F15</f>
        <v>Greta sembrava trasformare ogni stanza nel proprio centro senza fare nulla per esserlo.
Tra Bretagna, Normandia e corridoi universitari, il desiderio diventa una marea: torna quando credi di essere al sicuro e fa male soprattutto a chi vorrebbe sentirsi unico.
Greta non è raccontata come una ferita, ma come un promemoria: alcune persone possono bruciare con te senza appartenerti.
Leggi Intrecci Sbagliati dal link nel profilo.
🌐 https://diaridipelle.it/intrecci-sbagliati.html
📕 Cartaceo: https://www.amazon.it/dp/B0GX27ZJ1L
📱 Kindle: https://www.amazon.it/dp/B0GX2JR3F6
#DiariDiPelle #IntrecciSbagliati #Greta #Libertà #LibriItaliani</v>
      </c>
      <c r="Q99" s="64" t="str">
        <f>TESTI!J15</f>
        <v>https://diaridipelle.it/intrecci-sbagliati.html</v>
      </c>
      <c r="R99" s="42" t="s">
        <v>188</v>
      </c>
      <c r="S99" s="60" t="s">
        <v>140</v>
      </c>
      <c r="T99" s="60" t="s">
        <v>124</v>
      </c>
      <c r="U99" s="42" t="s">
        <v>351</v>
      </c>
      <c r="V99" s="42" t="str">
        <f t="shared" si="2"/>
        <v/>
      </c>
    </row>
    <row r="100" ht="78.0" customHeight="1">
      <c r="A100" s="60" t="s">
        <v>769</v>
      </c>
      <c r="B100" s="60">
        <v>8.0</v>
      </c>
      <c r="C100" s="61">
        <f>CAMPAGNE!F16</f>
        <v>46267</v>
      </c>
      <c r="D100" s="62">
        <v>0.75</v>
      </c>
      <c r="E100" s="63">
        <f>CAMPAGNE!H16</f>
        <v>46290</v>
      </c>
      <c r="F100" s="60" t="str">
        <f t="shared" si="1"/>
        <v>Venerdì</v>
      </c>
      <c r="G100" s="62">
        <v>0.8333333333333334</v>
      </c>
      <c r="H100" s="60" t="s">
        <v>128</v>
      </c>
      <c r="I100" s="60" t="s">
        <v>131</v>
      </c>
      <c r="J100" s="42" t="s">
        <v>320</v>
      </c>
      <c r="K100" s="60" t="s">
        <v>214</v>
      </c>
      <c r="L100" s="42" t="s">
        <v>367</v>
      </c>
      <c r="M100" s="42" t="s">
        <v>135</v>
      </c>
      <c r="N100" s="42" t="s">
        <v>474</v>
      </c>
      <c r="O100" s="42" t="s">
        <v>475</v>
      </c>
      <c r="P100" s="42" t="str">
        <f>TESTI!E16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#DiariDiPelle #IntrecciSbagliati #MuséeDOrsay #Parigi #NarrativaItaliana</v>
      </c>
      <c r="Q100" s="64" t="str">
        <f>TESTI!J16</f>
        <v>https://diaridipelle.it/intrecci-sbagliati.html</v>
      </c>
      <c r="R100" s="42" t="s">
        <v>139</v>
      </c>
      <c r="S100" s="60" t="s">
        <v>140</v>
      </c>
      <c r="T100" s="60" t="s">
        <v>124</v>
      </c>
      <c r="U100" s="42" t="s">
        <v>142</v>
      </c>
      <c r="V100" s="42" t="str">
        <f t="shared" si="2"/>
        <v/>
      </c>
    </row>
    <row r="101" ht="78.0" customHeight="1">
      <c r="A101" s="60" t="s">
        <v>770</v>
      </c>
      <c r="B101" s="60">
        <v>8.0</v>
      </c>
      <c r="C101" s="61">
        <f>CAMPAGNE!F16</f>
        <v>46267</v>
      </c>
      <c r="D101" s="62">
        <v>0.75</v>
      </c>
      <c r="E101" s="63">
        <f>CAMPAGNE!H16</f>
        <v>46290</v>
      </c>
      <c r="F101" s="60" t="str">
        <f t="shared" si="1"/>
        <v>Venerdì</v>
      </c>
      <c r="G101" s="62">
        <v>0.8333333333333334</v>
      </c>
      <c r="H101" s="60" t="s">
        <v>152</v>
      </c>
      <c r="I101" s="60" t="s">
        <v>131</v>
      </c>
      <c r="J101" s="42" t="s">
        <v>320</v>
      </c>
      <c r="K101" s="60" t="s">
        <v>214</v>
      </c>
      <c r="L101" s="42" t="s">
        <v>367</v>
      </c>
      <c r="M101" s="42" t="s">
        <v>172</v>
      </c>
      <c r="N101" s="42" t="s">
        <v>474</v>
      </c>
      <c r="O101" s="42" t="s">
        <v>475</v>
      </c>
      <c r="P101" s="42" t="str">
        <f>TESTI!F16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 https://diaridipelle.it/intrecci-sbagliati.html
📕 Cartaceo: https://www.amazon.it/dp/B0GX27ZJ1L
📱 Kindle: https://www.amazon.it/dp/B0GX2JR3F6
#DiariDiPelle #IntrecciSbagliati #MuséeDOrsay #Parigi #NarrativaItaliana</v>
      </c>
      <c r="Q101" s="64" t="str">
        <f>TESTI!J16</f>
        <v>https://diaridipelle.it/intrecci-sbagliati.html</v>
      </c>
      <c r="R101" s="42" t="s">
        <v>188</v>
      </c>
      <c r="S101" s="60" t="s">
        <v>140</v>
      </c>
      <c r="T101" s="60" t="s">
        <v>124</v>
      </c>
      <c r="U101" s="42" t="s">
        <v>193</v>
      </c>
      <c r="V101" s="42" t="str">
        <f t="shared" si="2"/>
        <v/>
      </c>
    </row>
    <row r="102" ht="78.0" customHeight="1">
      <c r="A102" s="60" t="s">
        <v>771</v>
      </c>
      <c r="B102" s="60">
        <v>8.0</v>
      </c>
      <c r="C102" s="61">
        <f>CAMPAGNE!G16</f>
        <v>46288</v>
      </c>
      <c r="D102" s="62">
        <v>0.75</v>
      </c>
      <c r="E102" s="63">
        <f>CAMPAGNE!H16</f>
        <v>46290</v>
      </c>
      <c r="F102" s="60" t="str">
        <f t="shared" si="1"/>
        <v>Venerdì</v>
      </c>
      <c r="G102" s="62">
        <v>0.8333333333333334</v>
      </c>
      <c r="H102" s="60" t="s">
        <v>213</v>
      </c>
      <c r="I102" s="60" t="s">
        <v>111</v>
      </c>
      <c r="J102" s="42" t="s">
        <v>320</v>
      </c>
      <c r="K102" s="60" t="s">
        <v>214</v>
      </c>
      <c r="L102" s="42" t="s">
        <v>367</v>
      </c>
      <c r="M102" s="42" t="s">
        <v>223</v>
      </c>
      <c r="N102" s="42" t="s">
        <v>474</v>
      </c>
      <c r="O102" s="42" t="s">
        <v>475</v>
      </c>
      <c r="P102" s="42" t="str">
        <f>TESTI!G16</f>
        <v>L'orologio del Musée d'Orsay continua a girare mentre Rossella ha già deciso dove fermarsi.
«Rossella» da Intrecci Sbagliati.
Scopri il libro dal link in bio.
#DiariDiPelle #IntrecciSbagliati #BookTokItalia #LibriTikTok</v>
      </c>
      <c r="Q102" s="64" t="str">
        <f>TESTI!J16</f>
        <v>https://diaridipelle.it/intrecci-sbagliati.html</v>
      </c>
      <c r="R102" s="42" t="s">
        <v>138</v>
      </c>
      <c r="S102" s="60" t="s">
        <v>231</v>
      </c>
      <c r="T102" s="60" t="s">
        <v>124</v>
      </c>
      <c r="U102" s="42" t="s">
        <v>234</v>
      </c>
      <c r="V102" s="42" t="str">
        <f t="shared" si="2"/>
        <v/>
      </c>
    </row>
    <row r="103" ht="78.0" customHeight="1">
      <c r="A103" s="60" t="s">
        <v>772</v>
      </c>
      <c r="B103" s="60">
        <v>8.0</v>
      </c>
      <c r="C103" s="61">
        <f>CAMPAGNE!I16</f>
        <v>46291</v>
      </c>
      <c r="D103" s="62">
        <v>0.4965277777777778</v>
      </c>
      <c r="E103" s="63">
        <f>CAMPAGNE!I16</f>
        <v>46291</v>
      </c>
      <c r="F103" s="60" t="str">
        <f t="shared" si="1"/>
        <v>Sabato</v>
      </c>
      <c r="G103" s="62">
        <v>0.5</v>
      </c>
      <c r="H103" s="60" t="s">
        <v>128</v>
      </c>
      <c r="I103" s="60" t="s">
        <v>170</v>
      </c>
      <c r="J103" s="42" t="s">
        <v>320</v>
      </c>
      <c r="K103" s="60" t="s">
        <v>214</v>
      </c>
      <c r="L103" s="42" t="s">
        <v>367</v>
      </c>
      <c r="M103" s="42" t="s">
        <v>252</v>
      </c>
      <c r="N103" s="42" t="s">
        <v>477</v>
      </c>
      <c r="O103" s="42" t="s">
        <v>773</v>
      </c>
      <c r="P103" s="42" t="str">
        <f>TESTI!N16</f>
        <v>Tocca SCOPRI IL LIBRO e scegli cartaceo o Kindle.</v>
      </c>
      <c r="Q103" s="64" t="str">
        <f>TESTI!H16</f>
        <v>https://diaridipelle.it/intrecci-sbagliati.html?utm_source=instagram&amp;utm_medium=story&amp;utm_campaign=intrecci_sbagliati&amp;utm_content=ch03</v>
      </c>
      <c r="R103" s="42" t="s">
        <v>139</v>
      </c>
      <c r="S103" s="60" t="s">
        <v>79</v>
      </c>
      <c r="T103" s="60" t="s">
        <v>124</v>
      </c>
      <c r="U103" s="42" t="s">
        <v>262</v>
      </c>
      <c r="V103" s="42" t="str">
        <f t="shared" si="2"/>
        <v/>
      </c>
    </row>
    <row r="104" ht="78.0" customHeight="1">
      <c r="A104" s="60" t="s">
        <v>774</v>
      </c>
      <c r="B104" s="60">
        <v>8.0</v>
      </c>
      <c r="C104" s="61">
        <f>CAMPAGNE!F16</f>
        <v>46267</v>
      </c>
      <c r="D104" s="62">
        <v>0.75</v>
      </c>
      <c r="E104" s="63">
        <f>CAMPAGNE!I16</f>
        <v>46291</v>
      </c>
      <c r="F104" s="60" t="str">
        <f t="shared" si="1"/>
        <v>Sabato</v>
      </c>
      <c r="G104" s="62">
        <v>0.5</v>
      </c>
      <c r="H104" s="60" t="s">
        <v>152</v>
      </c>
      <c r="I104" s="60" t="s">
        <v>170</v>
      </c>
      <c r="J104" s="42" t="s">
        <v>320</v>
      </c>
      <c r="K104" s="60" t="s">
        <v>214</v>
      </c>
      <c r="L104" s="42" t="s">
        <v>367</v>
      </c>
      <c r="M104" s="42" t="s">
        <v>285</v>
      </c>
      <c r="N104" s="42" t="s">
        <v>477</v>
      </c>
      <c r="O104" s="42" t="s">
        <v>773</v>
      </c>
      <c r="P104" s="42" t="str">
        <f>TESTI!N16</f>
        <v>Tocca SCOPRI IL LIBRO e scegli cartaceo o Kindle.</v>
      </c>
      <c r="Q104" s="64" t="str">
        <f>TESTI!I16</f>
        <v>https://diaridipelle.it/intrecci-sbagliati.html?utm_source=facebook&amp;utm_medium=story&amp;utm_campaign=intrecci_sbagliati&amp;utm_content=ch03</v>
      </c>
      <c r="R104" s="42" t="s">
        <v>188</v>
      </c>
      <c r="S104" s="60" t="s">
        <v>140</v>
      </c>
      <c r="T104" s="60" t="s">
        <v>124</v>
      </c>
      <c r="U104" s="42" t="s">
        <v>294</v>
      </c>
      <c r="V104" s="42" t="str">
        <f t="shared" si="2"/>
        <v/>
      </c>
    </row>
    <row r="105" ht="78.0" customHeight="1">
      <c r="A105" s="60" t="s">
        <v>775</v>
      </c>
      <c r="B105" s="60">
        <v>8.0</v>
      </c>
      <c r="C105" s="61">
        <f>CAMPAGNE!F16</f>
        <v>46267</v>
      </c>
      <c r="D105" s="62">
        <v>0.75</v>
      </c>
      <c r="E105" s="63">
        <f>CAMPAGNE!J16</f>
        <v>46292</v>
      </c>
      <c r="F105" s="60" t="str">
        <f t="shared" si="1"/>
        <v>Domenica</v>
      </c>
      <c r="G105" s="62">
        <v>0.8333333333333334</v>
      </c>
      <c r="H105" s="60" t="s">
        <v>128</v>
      </c>
      <c r="I105" s="60" t="s">
        <v>119</v>
      </c>
      <c r="J105" s="42" t="s">
        <v>320</v>
      </c>
      <c r="K105" s="60" t="s">
        <v>214</v>
      </c>
      <c r="L105" s="42" t="s">
        <v>367</v>
      </c>
      <c r="M105" s="42" t="s">
        <v>313</v>
      </c>
      <c r="N105" s="42" t="s">
        <v>478</v>
      </c>
      <c r="O105" s="42" t="s">
        <v>316</v>
      </c>
      <c r="P105" s="42" t="str">
        <f>TESTI!E16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#DiariDiPelle #IntrecciSbagliati #MuséeDOrsay #Parigi #NarrativaItaliana</v>
      </c>
      <c r="Q105" s="64" t="str">
        <f>TESTI!J16</f>
        <v>https://diaridipelle.it/intrecci-sbagliati.html</v>
      </c>
      <c r="R105" s="42" t="s">
        <v>139</v>
      </c>
      <c r="S105" s="60" t="s">
        <v>140</v>
      </c>
      <c r="T105" s="60" t="s">
        <v>124</v>
      </c>
      <c r="U105" s="42" t="s">
        <v>328</v>
      </c>
      <c r="V105" s="42" t="str">
        <f t="shared" si="2"/>
        <v/>
      </c>
    </row>
    <row r="106" ht="78.0" customHeight="1">
      <c r="A106" s="60" t="s">
        <v>776</v>
      </c>
      <c r="B106" s="60">
        <v>8.0</v>
      </c>
      <c r="C106" s="61">
        <f>CAMPAGNE!F16</f>
        <v>46267</v>
      </c>
      <c r="D106" s="62">
        <v>0.75</v>
      </c>
      <c r="E106" s="63">
        <f>CAMPAGNE!J16</f>
        <v>46292</v>
      </c>
      <c r="F106" s="60" t="str">
        <f t="shared" si="1"/>
        <v>Domenica</v>
      </c>
      <c r="G106" s="62">
        <v>0.8333333333333334</v>
      </c>
      <c r="H106" s="60" t="s">
        <v>152</v>
      </c>
      <c r="I106" s="60" t="s">
        <v>119</v>
      </c>
      <c r="J106" s="42" t="s">
        <v>320</v>
      </c>
      <c r="K106" s="60" t="s">
        <v>214</v>
      </c>
      <c r="L106" s="42" t="s">
        <v>367</v>
      </c>
      <c r="M106" s="42" t="s">
        <v>313</v>
      </c>
      <c r="N106" s="42" t="s">
        <v>478</v>
      </c>
      <c r="O106" s="42" t="s">
        <v>316</v>
      </c>
      <c r="P106" s="42" t="str">
        <f>TESTI!F16</f>
        <v>L'orologio del Musée d'Orsay continua a girare mentre Rossella ha già deciso dove fermarsi.
Sessanta giorni, nessuna promessa di eternità e un ultimo addio sotto la pioggia. Alcune storie sono brevi, ma lasciano nella memoria una durata che il calendario non sa misurare.
Rossella è il terzo capitolo di Intrecci Sbagliati: il racconto di ciò che è stato giusto proprio perché non poteva durare.
Scopri il libro completo dal link nel profilo.
🌐 https://diaridipelle.it/intrecci-sbagliati.html
📕 Cartaceo: https://www.amazon.it/dp/B0GX27ZJ1L
📱 Kindle: https://www.amazon.it/dp/B0GX2JR3F6
#DiariDiPelle #IntrecciSbagliati #MuséeDOrsay #Parigi #NarrativaItaliana</v>
      </c>
      <c r="Q106" s="64" t="str">
        <f>TESTI!J16</f>
        <v>https://diaridipelle.it/intrecci-sbagliati.html</v>
      </c>
      <c r="R106" s="42" t="s">
        <v>188</v>
      </c>
      <c r="S106" s="60" t="s">
        <v>140</v>
      </c>
      <c r="T106" s="60" t="s">
        <v>124</v>
      </c>
      <c r="U106" s="42" t="s">
        <v>351</v>
      </c>
      <c r="V106" s="42" t="str">
        <f t="shared" si="2"/>
        <v/>
      </c>
    </row>
    <row r="107" ht="78.0" customHeight="1">
      <c r="A107" s="60" t="s">
        <v>777</v>
      </c>
      <c r="B107" s="60">
        <v>8.0</v>
      </c>
      <c r="C107" s="61">
        <f>CAMPAGNE!F17</f>
        <v>46267</v>
      </c>
      <c r="D107" s="62">
        <v>0.75</v>
      </c>
      <c r="E107" s="63">
        <f>CAMPAGNE!H17</f>
        <v>46293</v>
      </c>
      <c r="F107" s="60" t="str">
        <f t="shared" si="1"/>
        <v>Lunedì</v>
      </c>
      <c r="G107" s="62">
        <v>0.8333333333333334</v>
      </c>
      <c r="H107" s="60" t="s">
        <v>128</v>
      </c>
      <c r="I107" s="60" t="s">
        <v>131</v>
      </c>
      <c r="J107" s="42" t="s">
        <v>320</v>
      </c>
      <c r="K107" s="60" t="s">
        <v>227</v>
      </c>
      <c r="L107" s="42" t="s">
        <v>377</v>
      </c>
      <c r="M107" s="42" t="s">
        <v>135</v>
      </c>
      <c r="N107" s="42" t="s">
        <v>485</v>
      </c>
      <c r="O107" s="42" t="s">
        <v>486</v>
      </c>
      <c r="P107" s="42" t="str">
        <f>TESTI!E17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#DiariDiPelle #IntrecciSbagliati #Cansu #Parigi #NarrativaPsicologica</v>
      </c>
      <c r="Q107" s="64" t="str">
        <f>TESTI!J17</f>
        <v>https://diaridipelle.it/intrecci-sbagliati.html</v>
      </c>
      <c r="R107" s="42" t="s">
        <v>139</v>
      </c>
      <c r="S107" s="60" t="s">
        <v>140</v>
      </c>
      <c r="T107" s="60" t="s">
        <v>124</v>
      </c>
      <c r="U107" s="42" t="s">
        <v>142</v>
      </c>
      <c r="V107" s="42" t="str">
        <f t="shared" si="2"/>
        <v/>
      </c>
    </row>
    <row r="108" ht="78.0" customHeight="1">
      <c r="A108" s="60" t="s">
        <v>778</v>
      </c>
      <c r="B108" s="60">
        <v>8.0</v>
      </c>
      <c r="C108" s="61">
        <f>CAMPAGNE!F17</f>
        <v>46267</v>
      </c>
      <c r="D108" s="62">
        <v>0.75</v>
      </c>
      <c r="E108" s="63">
        <f>CAMPAGNE!H17</f>
        <v>46293</v>
      </c>
      <c r="F108" s="60" t="str">
        <f t="shared" si="1"/>
        <v>Lunedì</v>
      </c>
      <c r="G108" s="62">
        <v>0.8333333333333334</v>
      </c>
      <c r="H108" s="60" t="s">
        <v>152</v>
      </c>
      <c r="I108" s="60" t="s">
        <v>131</v>
      </c>
      <c r="J108" s="42" t="s">
        <v>320</v>
      </c>
      <c r="K108" s="60" t="s">
        <v>227</v>
      </c>
      <c r="L108" s="42" t="s">
        <v>377</v>
      </c>
      <c r="M108" s="42" t="s">
        <v>172</v>
      </c>
      <c r="N108" s="42" t="s">
        <v>485</v>
      </c>
      <c r="O108" s="42" t="s">
        <v>486</v>
      </c>
      <c r="P108" s="42" t="str">
        <f>TESTI!F17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 https://diaridipelle.it/intrecci-sbagliati.html
📕 Cartaceo: https://www.amazon.it/dp/B0GX27ZJ1L
📱 Kindle: https://www.amazon.it/dp/B0GX2JR3F6
#DiariDiPelle #IntrecciSbagliati #Cansu #Parigi #NarrativaPsicologica</v>
      </c>
      <c r="Q108" s="64" t="str">
        <f>TESTI!J17</f>
        <v>https://diaridipelle.it/intrecci-sbagliati.html</v>
      </c>
      <c r="R108" s="42" t="s">
        <v>188</v>
      </c>
      <c r="S108" s="60" t="s">
        <v>140</v>
      </c>
      <c r="T108" s="60" t="s">
        <v>124</v>
      </c>
      <c r="U108" s="42" t="s">
        <v>193</v>
      </c>
      <c r="V108" s="42" t="str">
        <f t="shared" si="2"/>
        <v/>
      </c>
    </row>
    <row r="109" ht="78.0" customHeight="1">
      <c r="A109" s="60" t="s">
        <v>779</v>
      </c>
      <c r="B109" s="60">
        <v>8.0</v>
      </c>
      <c r="C109" s="61">
        <f>CAMPAGNE!G17</f>
        <v>46288</v>
      </c>
      <c r="D109" s="62">
        <v>0.75</v>
      </c>
      <c r="E109" s="63">
        <f>CAMPAGNE!H17</f>
        <v>46293</v>
      </c>
      <c r="F109" s="60" t="str">
        <f t="shared" si="1"/>
        <v>Lunedì</v>
      </c>
      <c r="G109" s="62">
        <v>0.8333333333333334</v>
      </c>
      <c r="H109" s="60" t="s">
        <v>213</v>
      </c>
      <c r="I109" s="60" t="s">
        <v>111</v>
      </c>
      <c r="J109" s="42" t="s">
        <v>320</v>
      </c>
      <c r="K109" s="60" t="s">
        <v>227</v>
      </c>
      <c r="L109" s="42" t="s">
        <v>377</v>
      </c>
      <c r="M109" s="42" t="s">
        <v>223</v>
      </c>
      <c r="N109" s="42" t="s">
        <v>485</v>
      </c>
      <c r="O109" s="42" t="s">
        <v>486</v>
      </c>
      <c r="P109" s="42" t="str">
        <f>TESTI!G17</f>
        <v>Cansu non chiedeva attenzione. La selezionava.
«Cansu» da Intrecci Sbagliati.
Scopri il libro dal link in bio.
#DiariDiPelle #IntrecciSbagliati #BookTokItalia #LibriTikTok</v>
      </c>
      <c r="Q109" s="64" t="str">
        <f>TESTI!J17</f>
        <v>https://diaridipelle.it/intrecci-sbagliati.html</v>
      </c>
      <c r="R109" s="42" t="s">
        <v>138</v>
      </c>
      <c r="S109" s="60" t="s">
        <v>231</v>
      </c>
      <c r="T109" s="60" t="s">
        <v>124</v>
      </c>
      <c r="U109" s="42" t="s">
        <v>234</v>
      </c>
      <c r="V109" s="42" t="str">
        <f t="shared" si="2"/>
        <v/>
      </c>
    </row>
    <row r="110" ht="78.0" customHeight="1">
      <c r="A110" s="60" t="s">
        <v>780</v>
      </c>
      <c r="B110" s="60">
        <v>8.0</v>
      </c>
      <c r="C110" s="61">
        <f>CAMPAGNE!I17</f>
        <v>46294</v>
      </c>
      <c r="D110" s="62">
        <v>0.4965277777777778</v>
      </c>
      <c r="E110" s="63">
        <f>CAMPAGNE!I17</f>
        <v>46294</v>
      </c>
      <c r="F110" s="60" t="str">
        <f t="shared" si="1"/>
        <v>Martedì</v>
      </c>
      <c r="G110" s="62">
        <v>0.5</v>
      </c>
      <c r="H110" s="60" t="s">
        <v>128</v>
      </c>
      <c r="I110" s="60" t="s">
        <v>170</v>
      </c>
      <c r="J110" s="42" t="s">
        <v>320</v>
      </c>
      <c r="K110" s="60" t="s">
        <v>227</v>
      </c>
      <c r="L110" s="42" t="s">
        <v>377</v>
      </c>
      <c r="M110" s="42" t="s">
        <v>252</v>
      </c>
      <c r="N110" s="42" t="s">
        <v>488</v>
      </c>
      <c r="O110" s="42" t="s">
        <v>781</v>
      </c>
      <c r="P110" s="42" t="str">
        <f>TESTI!N17</f>
        <v>Tocca SCOPRI IL LIBRO e scegli cartaceo o Kindle.</v>
      </c>
      <c r="Q110" s="64" t="str">
        <f>TESTI!H17</f>
        <v>https://diaridipelle.it/intrecci-sbagliati.html?utm_source=instagram&amp;utm_medium=story&amp;utm_campaign=intrecci_sbagliati&amp;utm_content=ch04</v>
      </c>
      <c r="R110" s="42" t="s">
        <v>139</v>
      </c>
      <c r="S110" s="60" t="s">
        <v>79</v>
      </c>
      <c r="T110" s="60" t="s">
        <v>124</v>
      </c>
      <c r="U110" s="42" t="s">
        <v>262</v>
      </c>
      <c r="V110" s="42" t="str">
        <f t="shared" si="2"/>
        <v/>
      </c>
    </row>
    <row r="111" ht="78.0" customHeight="1">
      <c r="A111" s="60" t="s">
        <v>782</v>
      </c>
      <c r="B111" s="60">
        <v>8.0</v>
      </c>
      <c r="C111" s="61">
        <f>CAMPAGNE!F17</f>
        <v>46267</v>
      </c>
      <c r="D111" s="62">
        <v>0.75</v>
      </c>
      <c r="E111" s="63">
        <f>CAMPAGNE!I17</f>
        <v>46294</v>
      </c>
      <c r="F111" s="60" t="str">
        <f t="shared" si="1"/>
        <v>Martedì</v>
      </c>
      <c r="G111" s="62">
        <v>0.5</v>
      </c>
      <c r="H111" s="60" t="s">
        <v>152</v>
      </c>
      <c r="I111" s="60" t="s">
        <v>170</v>
      </c>
      <c r="J111" s="42" t="s">
        <v>320</v>
      </c>
      <c r="K111" s="60" t="s">
        <v>227</v>
      </c>
      <c r="L111" s="42" t="s">
        <v>377</v>
      </c>
      <c r="M111" s="42" t="s">
        <v>285</v>
      </c>
      <c r="N111" s="42" t="s">
        <v>488</v>
      </c>
      <c r="O111" s="42" t="s">
        <v>781</v>
      </c>
      <c r="P111" s="42" t="str">
        <f>TESTI!N17</f>
        <v>Tocca SCOPRI IL LIBRO e scegli cartaceo o Kindle.</v>
      </c>
      <c r="Q111" s="64" t="str">
        <f>TESTI!I17</f>
        <v>https://diaridipelle.it/intrecci-sbagliati.html?utm_source=facebook&amp;utm_medium=story&amp;utm_campaign=intrecci_sbagliati&amp;utm_content=ch04</v>
      </c>
      <c r="R111" s="42" t="s">
        <v>188</v>
      </c>
      <c r="S111" s="60" t="s">
        <v>140</v>
      </c>
      <c r="T111" s="60" t="s">
        <v>124</v>
      </c>
      <c r="U111" s="42" t="s">
        <v>294</v>
      </c>
      <c r="V111" s="42" t="str">
        <f t="shared" si="2"/>
        <v/>
      </c>
    </row>
    <row r="112" ht="78.0" customHeight="1">
      <c r="A112" s="60" t="s">
        <v>783</v>
      </c>
      <c r="B112" s="60">
        <v>8.0</v>
      </c>
      <c r="C112" s="61">
        <f>CAMPAGNE!F17</f>
        <v>46267</v>
      </c>
      <c r="D112" s="62">
        <v>0.75</v>
      </c>
      <c r="E112" s="63">
        <f>CAMPAGNE!J17</f>
        <v>46295</v>
      </c>
      <c r="F112" s="60" t="str">
        <f t="shared" si="1"/>
        <v>Mercoledì</v>
      </c>
      <c r="G112" s="62">
        <v>0.4583333333333333</v>
      </c>
      <c r="H112" s="60" t="s">
        <v>128</v>
      </c>
      <c r="I112" s="60" t="s">
        <v>119</v>
      </c>
      <c r="J112" s="42" t="s">
        <v>320</v>
      </c>
      <c r="K112" s="60" t="s">
        <v>227</v>
      </c>
      <c r="L112" s="42" t="s">
        <v>377</v>
      </c>
      <c r="M112" s="42" t="s">
        <v>313</v>
      </c>
      <c r="N112" s="42" t="s">
        <v>489</v>
      </c>
      <c r="O112" s="42" t="s">
        <v>316</v>
      </c>
      <c r="P112" s="42" t="str">
        <f>TESTI!E17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#DiariDiPelle #IntrecciSbagliati #Cansu #Parigi #NarrativaPsicologica</v>
      </c>
      <c r="Q112" s="64" t="str">
        <f>TESTI!J17</f>
        <v>https://diaridipelle.it/intrecci-sbagliati.html</v>
      </c>
      <c r="R112" s="42" t="s">
        <v>139</v>
      </c>
      <c r="S112" s="60" t="s">
        <v>140</v>
      </c>
      <c r="T112" s="60" t="s">
        <v>124</v>
      </c>
      <c r="U112" s="42" t="s">
        <v>328</v>
      </c>
      <c r="V112" s="42" t="str">
        <f t="shared" si="2"/>
        <v/>
      </c>
    </row>
    <row r="113" ht="78.0" customHeight="1">
      <c r="A113" s="60" t="s">
        <v>784</v>
      </c>
      <c r="B113" s="60">
        <v>8.0</v>
      </c>
      <c r="C113" s="61">
        <f>CAMPAGNE!F17</f>
        <v>46267</v>
      </c>
      <c r="D113" s="62">
        <v>0.75</v>
      </c>
      <c r="E113" s="63">
        <f>CAMPAGNE!J17</f>
        <v>46295</v>
      </c>
      <c r="F113" s="60" t="str">
        <f t="shared" si="1"/>
        <v>Mercoledì</v>
      </c>
      <c r="G113" s="62">
        <v>0.4583333333333333</v>
      </c>
      <c r="H113" s="60" t="s">
        <v>152</v>
      </c>
      <c r="I113" s="60" t="s">
        <v>119</v>
      </c>
      <c r="J113" s="42" t="s">
        <v>320</v>
      </c>
      <c r="K113" s="60" t="s">
        <v>227</v>
      </c>
      <c r="L113" s="42" t="s">
        <v>377</v>
      </c>
      <c r="M113" s="42" t="s">
        <v>313</v>
      </c>
      <c r="N113" s="42" t="s">
        <v>489</v>
      </c>
      <c r="O113" s="42" t="s">
        <v>316</v>
      </c>
      <c r="P113" s="42" t="str">
        <f>TESTI!F17</f>
        <v>Cansu non chiedeva attenzione. La selezionava.
Tra biblioteche, silenzi e un addio preciso come una firma, insegna che si può essere duri senza essere crudeli e vivere il desiderio senza perdere il controllo di sé.
Non tutte le storie finiscono bene o male. Alcune finiscono nel modo più coerente con chi le ha vissute.
Cansu è il quarto capitolo di Intrecci Sbagliati. Continua dal link nel profilo.
🌐 https://diaridipelle.it/intrecci-sbagliati.html
📕 Cartaceo: https://www.amazon.it/dp/B0GX27ZJ1L
📱 Kindle: https://www.amazon.it/dp/B0GX2JR3F6
#DiariDiPelle #IntrecciSbagliati #Cansu #Parigi #NarrativaPsicologica</v>
      </c>
      <c r="Q113" s="64" t="str">
        <f>TESTI!J17</f>
        <v>https://diaridipelle.it/intrecci-sbagliati.html</v>
      </c>
      <c r="R113" s="42" t="s">
        <v>188</v>
      </c>
      <c r="S113" s="60" t="s">
        <v>140</v>
      </c>
      <c r="T113" s="60" t="s">
        <v>124</v>
      </c>
      <c r="U113" s="42" t="s">
        <v>351</v>
      </c>
      <c r="V113" s="42" t="str">
        <f t="shared" si="2"/>
        <v/>
      </c>
    </row>
    <row r="114" ht="78.0" customHeight="1">
      <c r="A114" s="60" t="s">
        <v>785</v>
      </c>
      <c r="B114" s="60">
        <v>9.0</v>
      </c>
      <c r="C114" s="61">
        <f>CAMPAGNE!F18</f>
        <v>46295</v>
      </c>
      <c r="D114" s="62">
        <v>0.75</v>
      </c>
      <c r="E114" s="63">
        <f>CAMPAGNE!H18</f>
        <v>46297</v>
      </c>
      <c r="F114" s="60" t="str">
        <f t="shared" si="1"/>
        <v>Venerdì</v>
      </c>
      <c r="G114" s="62">
        <v>0.8333333333333334</v>
      </c>
      <c r="H114" s="60" t="s">
        <v>128</v>
      </c>
      <c r="I114" s="60" t="s">
        <v>131</v>
      </c>
      <c r="J114" s="42" t="s">
        <v>320</v>
      </c>
      <c r="K114" s="60" t="s">
        <v>243</v>
      </c>
      <c r="L114" s="42" t="s">
        <v>392</v>
      </c>
      <c r="M114" s="42" t="s">
        <v>135</v>
      </c>
      <c r="N114" s="42" t="s">
        <v>499</v>
      </c>
      <c r="O114" s="42" t="s">
        <v>501</v>
      </c>
      <c r="P114" s="42" t="str">
        <f>TESTI!E18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#DiariDiPelle #IntrecciSbagliati #Ella #Desiderio #LibriDaLeggere</v>
      </c>
      <c r="Q114" s="64" t="str">
        <f>TESTI!J18</f>
        <v>https://diaridipelle.it/intrecci-sbagliati.html</v>
      </c>
      <c r="R114" s="42" t="s">
        <v>139</v>
      </c>
      <c r="S114" s="60" t="s">
        <v>140</v>
      </c>
      <c r="T114" s="60" t="s">
        <v>124</v>
      </c>
      <c r="U114" s="42" t="s">
        <v>142</v>
      </c>
      <c r="V114" s="42" t="str">
        <f t="shared" si="2"/>
        <v/>
      </c>
    </row>
    <row r="115" ht="78.0" customHeight="1">
      <c r="A115" s="60" t="s">
        <v>786</v>
      </c>
      <c r="B115" s="60">
        <v>9.0</v>
      </c>
      <c r="C115" s="61">
        <f>CAMPAGNE!F18</f>
        <v>46295</v>
      </c>
      <c r="D115" s="62">
        <v>0.75</v>
      </c>
      <c r="E115" s="63">
        <f>CAMPAGNE!H18</f>
        <v>46297</v>
      </c>
      <c r="F115" s="60" t="str">
        <f t="shared" si="1"/>
        <v>Venerdì</v>
      </c>
      <c r="G115" s="62">
        <v>0.8333333333333334</v>
      </c>
      <c r="H115" s="60" t="s">
        <v>152</v>
      </c>
      <c r="I115" s="60" t="s">
        <v>131</v>
      </c>
      <c r="J115" s="42" t="s">
        <v>320</v>
      </c>
      <c r="K115" s="60" t="s">
        <v>243</v>
      </c>
      <c r="L115" s="42" t="s">
        <v>392</v>
      </c>
      <c r="M115" s="42" t="s">
        <v>172</v>
      </c>
      <c r="N115" s="42" t="s">
        <v>499</v>
      </c>
      <c r="O115" s="42" t="s">
        <v>501</v>
      </c>
      <c r="P115" s="42" t="str">
        <f>TESTI!F18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 https://diaridipelle.it/intrecci-sbagliati.html
📕 Cartaceo: https://www.amazon.it/dp/B0GX27ZJ1L
📱 Kindle: https://www.amazon.it/dp/B0GX2JR3F6
#DiariDiPelle #IntrecciSbagliati #Ella #Desiderio #LibriDaLeggere</v>
      </c>
      <c r="Q115" s="64" t="str">
        <f>TESTI!J18</f>
        <v>https://diaridipelle.it/intrecci-sbagliati.html</v>
      </c>
      <c r="R115" s="42" t="s">
        <v>188</v>
      </c>
      <c r="S115" s="60" t="s">
        <v>140</v>
      </c>
      <c r="T115" s="60" t="s">
        <v>124</v>
      </c>
      <c r="U115" s="42" t="s">
        <v>193</v>
      </c>
      <c r="V115" s="42" t="str">
        <f t="shared" si="2"/>
        <v/>
      </c>
    </row>
    <row r="116" ht="78.0" customHeight="1">
      <c r="A116" s="60" t="s">
        <v>787</v>
      </c>
      <c r="B116" s="60">
        <v>9.0</v>
      </c>
      <c r="C116" s="61">
        <f>CAMPAGNE!G18</f>
        <v>46295</v>
      </c>
      <c r="D116" s="62">
        <v>0.75</v>
      </c>
      <c r="E116" s="63">
        <f>CAMPAGNE!H18</f>
        <v>46297</v>
      </c>
      <c r="F116" s="60" t="str">
        <f t="shared" si="1"/>
        <v>Venerdì</v>
      </c>
      <c r="G116" s="62">
        <v>0.8333333333333334</v>
      </c>
      <c r="H116" s="60" t="s">
        <v>213</v>
      </c>
      <c r="I116" s="60" t="s">
        <v>111</v>
      </c>
      <c r="J116" s="42" t="s">
        <v>320</v>
      </c>
      <c r="K116" s="60" t="s">
        <v>243</v>
      </c>
      <c r="L116" s="42" t="s">
        <v>392</v>
      </c>
      <c r="M116" s="42" t="s">
        <v>223</v>
      </c>
      <c r="N116" s="42" t="s">
        <v>499</v>
      </c>
      <c r="O116" s="42" t="s">
        <v>501</v>
      </c>
      <c r="P116" s="42" t="str">
        <f>TESTI!G18</f>
        <v>Parigi aveva insegnato la libertà delle notti fugaci. Poi arrivò Ella e rese insufficiente tutto il resto.
«Ella» da Intrecci Sbagliati.
Scopri il libro dal link in bio.
#DiariDiPelle #IntrecciSbagliati #BookTokItalia #LibriTikTok</v>
      </c>
      <c r="Q116" s="64" t="str">
        <f>TESTI!J18</f>
        <v>https://diaridipelle.it/intrecci-sbagliati.html</v>
      </c>
      <c r="R116" s="42" t="s">
        <v>138</v>
      </c>
      <c r="S116" s="60" t="s">
        <v>231</v>
      </c>
      <c r="T116" s="60" t="s">
        <v>124</v>
      </c>
      <c r="U116" s="42" t="s">
        <v>234</v>
      </c>
      <c r="V116" s="42" t="str">
        <f t="shared" si="2"/>
        <v/>
      </c>
    </row>
    <row r="117" ht="78.0" customHeight="1">
      <c r="A117" s="60" t="s">
        <v>788</v>
      </c>
      <c r="B117" s="60">
        <v>9.0</v>
      </c>
      <c r="C117" s="61">
        <f>CAMPAGNE!I18</f>
        <v>46298</v>
      </c>
      <c r="D117" s="62">
        <v>0.4965277777777778</v>
      </c>
      <c r="E117" s="63">
        <f>CAMPAGNE!I18</f>
        <v>46298</v>
      </c>
      <c r="F117" s="60" t="str">
        <f t="shared" si="1"/>
        <v>Sabato</v>
      </c>
      <c r="G117" s="62">
        <v>0.5</v>
      </c>
      <c r="H117" s="60" t="s">
        <v>128</v>
      </c>
      <c r="I117" s="60" t="s">
        <v>170</v>
      </c>
      <c r="J117" s="42" t="s">
        <v>320</v>
      </c>
      <c r="K117" s="60" t="s">
        <v>243</v>
      </c>
      <c r="L117" s="42" t="s">
        <v>392</v>
      </c>
      <c r="M117" s="42" t="s">
        <v>252</v>
      </c>
      <c r="N117" s="42" t="s">
        <v>502</v>
      </c>
      <c r="O117" s="42" t="s">
        <v>789</v>
      </c>
      <c r="P117" s="42" t="str">
        <f>TESTI!N18</f>
        <v>Tocca SCOPRI IL LIBRO e scegli cartaceo o Kindle.</v>
      </c>
      <c r="Q117" s="64" t="str">
        <f>TESTI!H18</f>
        <v>https://diaridipelle.it/intrecci-sbagliati.html?utm_source=instagram&amp;utm_medium=story&amp;utm_campaign=intrecci_sbagliati&amp;utm_content=ch05</v>
      </c>
      <c r="R117" s="42" t="s">
        <v>139</v>
      </c>
      <c r="S117" s="60" t="s">
        <v>79</v>
      </c>
      <c r="T117" s="60" t="s">
        <v>124</v>
      </c>
      <c r="U117" s="42" t="s">
        <v>262</v>
      </c>
      <c r="V117" s="42" t="str">
        <f t="shared" si="2"/>
        <v/>
      </c>
    </row>
    <row r="118" ht="78.0" customHeight="1">
      <c r="A118" s="60" t="s">
        <v>790</v>
      </c>
      <c r="B118" s="60">
        <v>9.0</v>
      </c>
      <c r="C118" s="61">
        <f>CAMPAGNE!F18</f>
        <v>46295</v>
      </c>
      <c r="D118" s="62">
        <v>0.75</v>
      </c>
      <c r="E118" s="63">
        <f>CAMPAGNE!I18</f>
        <v>46298</v>
      </c>
      <c r="F118" s="60" t="str">
        <f t="shared" si="1"/>
        <v>Sabato</v>
      </c>
      <c r="G118" s="62">
        <v>0.5</v>
      </c>
      <c r="H118" s="60" t="s">
        <v>152</v>
      </c>
      <c r="I118" s="60" t="s">
        <v>170</v>
      </c>
      <c r="J118" s="42" t="s">
        <v>320</v>
      </c>
      <c r="K118" s="60" t="s">
        <v>243</v>
      </c>
      <c r="L118" s="42" t="s">
        <v>392</v>
      </c>
      <c r="M118" s="42" t="s">
        <v>285</v>
      </c>
      <c r="N118" s="42" t="s">
        <v>502</v>
      </c>
      <c r="O118" s="42" t="s">
        <v>789</v>
      </c>
      <c r="P118" s="42" t="str">
        <f>TESTI!N18</f>
        <v>Tocca SCOPRI IL LIBRO e scegli cartaceo o Kindle.</v>
      </c>
      <c r="Q118" s="64" t="str">
        <f>TESTI!I18</f>
        <v>https://diaridipelle.it/intrecci-sbagliati.html?utm_source=facebook&amp;utm_medium=story&amp;utm_campaign=intrecci_sbagliati&amp;utm_content=ch05</v>
      </c>
      <c r="R118" s="42" t="s">
        <v>188</v>
      </c>
      <c r="S118" s="60" t="s">
        <v>140</v>
      </c>
      <c r="T118" s="60" t="s">
        <v>124</v>
      </c>
      <c r="U118" s="42" t="s">
        <v>294</v>
      </c>
      <c r="V118" s="42" t="str">
        <f t="shared" si="2"/>
        <v/>
      </c>
    </row>
    <row r="119" ht="78.0" customHeight="1">
      <c r="A119" s="60" t="s">
        <v>791</v>
      </c>
      <c r="B119" s="60">
        <v>9.0</v>
      </c>
      <c r="C119" s="61">
        <f>CAMPAGNE!F18</f>
        <v>46295</v>
      </c>
      <c r="D119" s="62">
        <v>0.75</v>
      </c>
      <c r="E119" s="63">
        <f>CAMPAGNE!J18</f>
        <v>46299</v>
      </c>
      <c r="F119" s="60" t="str">
        <f t="shared" si="1"/>
        <v>Domenica</v>
      </c>
      <c r="G119" s="62">
        <v>0.8333333333333334</v>
      </c>
      <c r="H119" s="60" t="s">
        <v>128</v>
      </c>
      <c r="I119" s="60" t="s">
        <v>119</v>
      </c>
      <c r="J119" s="42" t="s">
        <v>320</v>
      </c>
      <c r="K119" s="60" t="s">
        <v>243</v>
      </c>
      <c r="L119" s="42" t="s">
        <v>392</v>
      </c>
      <c r="M119" s="42" t="s">
        <v>313</v>
      </c>
      <c r="N119" s="42" t="s">
        <v>503</v>
      </c>
      <c r="O119" s="42" t="s">
        <v>316</v>
      </c>
      <c r="P119" s="42" t="str">
        <f>TESTI!E18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#DiariDiPelle #IntrecciSbagliati #Ella #Desiderio #LibriDaLeggere</v>
      </c>
      <c r="Q119" s="64" t="str">
        <f>TESTI!J18</f>
        <v>https://diaridipelle.it/intrecci-sbagliati.html</v>
      </c>
      <c r="R119" s="42" t="s">
        <v>139</v>
      </c>
      <c r="S119" s="60" t="s">
        <v>140</v>
      </c>
      <c r="T119" s="60" t="s">
        <v>124</v>
      </c>
      <c r="U119" s="42" t="s">
        <v>328</v>
      </c>
      <c r="V119" s="42" t="str">
        <f t="shared" si="2"/>
        <v/>
      </c>
    </row>
    <row r="120" ht="78.0" customHeight="1">
      <c r="A120" s="60" t="s">
        <v>792</v>
      </c>
      <c r="B120" s="60">
        <v>9.0</v>
      </c>
      <c r="C120" s="61">
        <f>CAMPAGNE!F18</f>
        <v>46295</v>
      </c>
      <c r="D120" s="62">
        <v>0.75</v>
      </c>
      <c r="E120" s="63">
        <f>CAMPAGNE!J18</f>
        <v>46299</v>
      </c>
      <c r="F120" s="60" t="str">
        <f t="shared" si="1"/>
        <v>Domenica</v>
      </c>
      <c r="G120" s="62">
        <v>0.8333333333333334</v>
      </c>
      <c r="H120" s="60" t="s">
        <v>152</v>
      </c>
      <c r="I120" s="60" t="s">
        <v>119</v>
      </c>
      <c r="J120" s="42" t="s">
        <v>320</v>
      </c>
      <c r="K120" s="60" t="s">
        <v>243</v>
      </c>
      <c r="L120" s="42" t="s">
        <v>392</v>
      </c>
      <c r="M120" s="42" t="s">
        <v>313</v>
      </c>
      <c r="N120" s="42" t="s">
        <v>503</v>
      </c>
      <c r="O120" s="42" t="s">
        <v>316</v>
      </c>
      <c r="P120" s="42" t="str">
        <f>TESTI!F18</f>
        <v>Parigi aveva insegnato la libertà delle notti fugaci. Poi arrivò Ella e rese insufficiente tutto il resto.
Con lei il desiderio attraversa un confine nuovo: fiducia, controllo, intimità e la sensazione che un corpo preciso possa diventare abitudine.
Quando il treno sta per partire, basta un messaggio per aprire un'altra possibilità.
Ella è il quinto capitolo di Intrecci Sbagliati. Scopri il libro dal link nel profilo.
🌐 https://diaridipelle.it/intrecci-sbagliati.html
📕 Cartaceo: https://www.amazon.it/dp/B0GX27ZJ1L
📱 Kindle: https://www.amazon.it/dp/B0GX2JR3F6
#DiariDiPelle #IntrecciSbagliati #Ella #Desiderio #LibriDaLeggere</v>
      </c>
      <c r="Q120" s="64" t="str">
        <f>TESTI!J18</f>
        <v>https://diaridipelle.it/intrecci-sbagliati.html</v>
      </c>
      <c r="R120" s="42" t="s">
        <v>188</v>
      </c>
      <c r="S120" s="60" t="s">
        <v>140</v>
      </c>
      <c r="T120" s="60" t="s">
        <v>124</v>
      </c>
      <c r="U120" s="42" t="s">
        <v>351</v>
      </c>
      <c r="V120" s="42" t="str">
        <f t="shared" si="2"/>
        <v/>
      </c>
    </row>
    <row r="121" ht="78.0" customHeight="1">
      <c r="A121" s="60" t="s">
        <v>793</v>
      </c>
      <c r="B121" s="60">
        <v>9.0</v>
      </c>
      <c r="C121" s="61">
        <f>CAMPAGNE!F19</f>
        <v>46295</v>
      </c>
      <c r="D121" s="62">
        <v>0.75</v>
      </c>
      <c r="E121" s="63">
        <f>CAMPAGNE!H19</f>
        <v>46300</v>
      </c>
      <c r="F121" s="60" t="str">
        <f t="shared" si="1"/>
        <v>Lunedì</v>
      </c>
      <c r="G121" s="62">
        <v>0.8333333333333334</v>
      </c>
      <c r="H121" s="60" t="s">
        <v>128</v>
      </c>
      <c r="I121" s="60" t="s">
        <v>131</v>
      </c>
      <c r="J121" s="42" t="s">
        <v>320</v>
      </c>
      <c r="K121" s="60" t="s">
        <v>256</v>
      </c>
      <c r="L121" s="42" t="s">
        <v>405</v>
      </c>
      <c r="M121" s="42" t="s">
        <v>135</v>
      </c>
      <c r="N121" s="42" t="s">
        <v>511</v>
      </c>
      <c r="O121" s="42" t="s">
        <v>512</v>
      </c>
      <c r="P121" s="42" t="str">
        <f>TESTI!E19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#DiariDiPelle #IntrecciSbagliati #AncoraLei #StorieDamore #NarrativaContemporanea</v>
      </c>
      <c r="Q121" s="64" t="str">
        <f>TESTI!J19</f>
        <v>https://diaridipelle.it/intrecci-sbagliati.html</v>
      </c>
      <c r="R121" s="42" t="s">
        <v>139</v>
      </c>
      <c r="S121" s="60" t="s">
        <v>140</v>
      </c>
      <c r="T121" s="60" t="s">
        <v>124</v>
      </c>
      <c r="U121" s="42" t="s">
        <v>142</v>
      </c>
      <c r="V121" s="42" t="str">
        <f t="shared" si="2"/>
        <v/>
      </c>
    </row>
    <row r="122" ht="78.0" customHeight="1">
      <c r="A122" s="60" t="s">
        <v>794</v>
      </c>
      <c r="B122" s="60">
        <v>9.0</v>
      </c>
      <c r="C122" s="61">
        <f>CAMPAGNE!F19</f>
        <v>46295</v>
      </c>
      <c r="D122" s="62">
        <v>0.75</v>
      </c>
      <c r="E122" s="63">
        <f>CAMPAGNE!H19</f>
        <v>46300</v>
      </c>
      <c r="F122" s="60" t="str">
        <f t="shared" si="1"/>
        <v>Lunedì</v>
      </c>
      <c r="G122" s="62">
        <v>0.8333333333333334</v>
      </c>
      <c r="H122" s="60" t="s">
        <v>152</v>
      </c>
      <c r="I122" s="60" t="s">
        <v>131</v>
      </c>
      <c r="J122" s="42" t="s">
        <v>320</v>
      </c>
      <c r="K122" s="60" t="s">
        <v>256</v>
      </c>
      <c r="L122" s="42" t="s">
        <v>405</v>
      </c>
      <c r="M122" s="42" t="s">
        <v>172</v>
      </c>
      <c r="N122" s="42" t="s">
        <v>511</v>
      </c>
      <c r="O122" s="42" t="s">
        <v>512</v>
      </c>
      <c r="P122" s="42" t="str">
        <f>TESTI!F19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 https://diaridipelle.it/intrecci-sbagliati.html
📕 Cartaceo: https://www.amazon.it/dp/B0GX27ZJ1L
📱 Kindle: https://www.amazon.it/dp/B0GX2JR3F6
#DiariDiPelle #IntrecciSbagliati #AncoraLei #StorieDamore #NarrativaContemporanea</v>
      </c>
      <c r="Q122" s="64" t="str">
        <f>TESTI!J19</f>
        <v>https://diaridipelle.it/intrecci-sbagliati.html</v>
      </c>
      <c r="R122" s="42" t="s">
        <v>188</v>
      </c>
      <c r="S122" s="60" t="s">
        <v>140</v>
      </c>
      <c r="T122" s="60" t="s">
        <v>124</v>
      </c>
      <c r="U122" s="42" t="s">
        <v>193</v>
      </c>
      <c r="V122" s="42" t="str">
        <f t="shared" si="2"/>
        <v/>
      </c>
    </row>
    <row r="123" ht="78.0" customHeight="1">
      <c r="A123" s="60" t="s">
        <v>795</v>
      </c>
      <c r="B123" s="60">
        <v>9.0</v>
      </c>
      <c r="C123" s="61">
        <f>CAMPAGNE!G19</f>
        <v>46295</v>
      </c>
      <c r="D123" s="62">
        <v>0.75</v>
      </c>
      <c r="E123" s="63">
        <f>CAMPAGNE!H19</f>
        <v>46300</v>
      </c>
      <c r="F123" s="60" t="str">
        <f t="shared" si="1"/>
        <v>Lunedì</v>
      </c>
      <c r="G123" s="62">
        <v>0.8333333333333334</v>
      </c>
      <c r="H123" s="60" t="s">
        <v>213</v>
      </c>
      <c r="I123" s="60" t="s">
        <v>111</v>
      </c>
      <c r="J123" s="42" t="s">
        <v>320</v>
      </c>
      <c r="K123" s="60" t="s">
        <v>256</v>
      </c>
      <c r="L123" s="42" t="s">
        <v>405</v>
      </c>
      <c r="M123" s="42" t="s">
        <v>223</v>
      </c>
      <c r="N123" s="42" t="s">
        <v>511</v>
      </c>
      <c r="O123" s="42" t="s">
        <v>512</v>
      </c>
      <c r="P123" s="42" t="str">
        <f>TESTI!G19</f>
        <v>Ella era già sul treno, con le valigie e la vita pronta a ripartire. Poi lesse un messaggio e scese all'ultimo secondo.
«Ancora Lei» da Intrecci Sbagliati.
Scopri il libro dal link in bio.
#DiariDiPelle #IntrecciSbagliati #BookTokItalia #LibriTikTok</v>
      </c>
      <c r="Q123" s="64" t="str">
        <f>TESTI!J19</f>
        <v>https://diaridipelle.it/intrecci-sbagliati.html</v>
      </c>
      <c r="R123" s="42" t="s">
        <v>138</v>
      </c>
      <c r="S123" s="60" t="s">
        <v>231</v>
      </c>
      <c r="T123" s="60" t="s">
        <v>124</v>
      </c>
      <c r="U123" s="42" t="s">
        <v>234</v>
      </c>
      <c r="V123" s="42" t="str">
        <f t="shared" si="2"/>
        <v/>
      </c>
    </row>
    <row r="124" ht="78.0" customHeight="1">
      <c r="A124" s="60" t="s">
        <v>796</v>
      </c>
      <c r="B124" s="60">
        <v>9.0</v>
      </c>
      <c r="C124" s="61">
        <f>CAMPAGNE!I19</f>
        <v>46301</v>
      </c>
      <c r="D124" s="62">
        <v>0.4965277777777778</v>
      </c>
      <c r="E124" s="63">
        <f>CAMPAGNE!I19</f>
        <v>46301</v>
      </c>
      <c r="F124" s="60" t="str">
        <f t="shared" si="1"/>
        <v>Martedì</v>
      </c>
      <c r="G124" s="62">
        <v>0.5</v>
      </c>
      <c r="H124" s="60" t="s">
        <v>128</v>
      </c>
      <c r="I124" s="60" t="s">
        <v>170</v>
      </c>
      <c r="J124" s="42" t="s">
        <v>320</v>
      </c>
      <c r="K124" s="60" t="s">
        <v>256</v>
      </c>
      <c r="L124" s="42" t="s">
        <v>405</v>
      </c>
      <c r="M124" s="42" t="s">
        <v>252</v>
      </c>
      <c r="N124" s="42" t="s">
        <v>513</v>
      </c>
      <c r="O124" s="42" t="s">
        <v>797</v>
      </c>
      <c r="P124" s="42" t="str">
        <f>TESTI!N19</f>
        <v>Tocca SCOPRI IL LIBRO e scegli cartaceo o Kindle.</v>
      </c>
      <c r="Q124" s="64" t="str">
        <f>TESTI!H19</f>
        <v>https://diaridipelle.it/intrecci-sbagliati.html?utm_source=instagram&amp;utm_medium=story&amp;utm_campaign=intrecci_sbagliati&amp;utm_content=ch06</v>
      </c>
      <c r="R124" s="42" t="s">
        <v>139</v>
      </c>
      <c r="S124" s="60" t="s">
        <v>79</v>
      </c>
      <c r="T124" s="60" t="s">
        <v>124</v>
      </c>
      <c r="U124" s="42" t="s">
        <v>262</v>
      </c>
      <c r="V124" s="42" t="str">
        <f t="shared" si="2"/>
        <v/>
      </c>
    </row>
    <row r="125" ht="78.0" customHeight="1">
      <c r="A125" s="60" t="s">
        <v>798</v>
      </c>
      <c r="B125" s="60">
        <v>9.0</v>
      </c>
      <c r="C125" s="61">
        <f>CAMPAGNE!F19</f>
        <v>46295</v>
      </c>
      <c r="D125" s="62">
        <v>0.75</v>
      </c>
      <c r="E125" s="63">
        <f>CAMPAGNE!I19</f>
        <v>46301</v>
      </c>
      <c r="F125" s="60" t="str">
        <f t="shared" si="1"/>
        <v>Martedì</v>
      </c>
      <c r="G125" s="62">
        <v>0.5</v>
      </c>
      <c r="H125" s="60" t="s">
        <v>152</v>
      </c>
      <c r="I125" s="60" t="s">
        <v>170</v>
      </c>
      <c r="J125" s="42" t="s">
        <v>320</v>
      </c>
      <c r="K125" s="60" t="s">
        <v>256</v>
      </c>
      <c r="L125" s="42" t="s">
        <v>405</v>
      </c>
      <c r="M125" s="42" t="s">
        <v>285</v>
      </c>
      <c r="N125" s="42" t="s">
        <v>513</v>
      </c>
      <c r="O125" s="42" t="s">
        <v>797</v>
      </c>
      <c r="P125" s="42" t="str">
        <f>TESTI!N19</f>
        <v>Tocca SCOPRI IL LIBRO e scegli cartaceo o Kindle.</v>
      </c>
      <c r="Q125" s="64" t="str">
        <f>TESTI!I19</f>
        <v>https://diaridipelle.it/intrecci-sbagliati.html?utm_source=facebook&amp;utm_medium=story&amp;utm_campaign=intrecci_sbagliati&amp;utm_content=ch06</v>
      </c>
      <c r="R125" s="42" t="s">
        <v>188</v>
      </c>
      <c r="S125" s="60" t="s">
        <v>140</v>
      </c>
      <c r="T125" s="60" t="s">
        <v>124</v>
      </c>
      <c r="U125" s="42" t="s">
        <v>294</v>
      </c>
      <c r="V125" s="42" t="str">
        <f t="shared" si="2"/>
        <v/>
      </c>
    </row>
    <row r="126" ht="78.0" customHeight="1">
      <c r="A126" s="60" t="s">
        <v>799</v>
      </c>
      <c r="B126" s="60">
        <v>9.0</v>
      </c>
      <c r="C126" s="61">
        <f>CAMPAGNE!F19</f>
        <v>46295</v>
      </c>
      <c r="D126" s="62">
        <v>0.75</v>
      </c>
      <c r="E126" s="63">
        <f>CAMPAGNE!J19</f>
        <v>46302</v>
      </c>
      <c r="F126" s="60" t="str">
        <f t="shared" si="1"/>
        <v>Mercoledì</v>
      </c>
      <c r="G126" s="62">
        <v>0.4583333333333333</v>
      </c>
      <c r="H126" s="60" t="s">
        <v>128</v>
      </c>
      <c r="I126" s="60" t="s">
        <v>119</v>
      </c>
      <c r="J126" s="42" t="s">
        <v>320</v>
      </c>
      <c r="K126" s="60" t="s">
        <v>256</v>
      </c>
      <c r="L126" s="42" t="s">
        <v>405</v>
      </c>
      <c r="M126" s="42" t="s">
        <v>313</v>
      </c>
      <c r="N126" s="42" t="s">
        <v>514</v>
      </c>
      <c r="O126" s="42" t="s">
        <v>316</v>
      </c>
      <c r="P126" s="42" t="str">
        <f>TESTI!E19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#DiariDiPelle #IntrecciSbagliati #AncoraLei #StorieDamore #NarrativaContemporanea</v>
      </c>
      <c r="Q126" s="64" t="str">
        <f>TESTI!J19</f>
        <v>https://diaridipelle.it/intrecci-sbagliati.html</v>
      </c>
      <c r="R126" s="42" t="s">
        <v>139</v>
      </c>
      <c r="S126" s="60" t="s">
        <v>140</v>
      </c>
      <c r="T126" s="60" t="s">
        <v>124</v>
      </c>
      <c r="U126" s="42" t="s">
        <v>328</v>
      </c>
      <c r="V126" s="42" t="str">
        <f t="shared" si="2"/>
        <v/>
      </c>
    </row>
    <row r="127" ht="78.0" customHeight="1">
      <c r="A127" s="60" t="s">
        <v>800</v>
      </c>
      <c r="B127" s="60">
        <v>9.0</v>
      </c>
      <c r="C127" s="61">
        <f>CAMPAGNE!F19</f>
        <v>46295</v>
      </c>
      <c r="D127" s="62">
        <v>0.75</v>
      </c>
      <c r="E127" s="63">
        <f>CAMPAGNE!J19</f>
        <v>46302</v>
      </c>
      <c r="F127" s="60" t="str">
        <f t="shared" si="1"/>
        <v>Mercoledì</v>
      </c>
      <c r="G127" s="62">
        <v>0.4583333333333333</v>
      </c>
      <c r="H127" s="60" t="s">
        <v>152</v>
      </c>
      <c r="I127" s="60" t="s">
        <v>119</v>
      </c>
      <c r="J127" s="42" t="s">
        <v>320</v>
      </c>
      <c r="K127" s="60" t="s">
        <v>256</v>
      </c>
      <c r="L127" s="42" t="s">
        <v>405</v>
      </c>
      <c r="M127" s="42" t="s">
        <v>313</v>
      </c>
      <c r="N127" s="42" t="s">
        <v>514</v>
      </c>
      <c r="O127" s="42" t="s">
        <v>316</v>
      </c>
      <c r="P127" s="42" t="str">
        <f>TESTI!F19</f>
        <v>Ella era già sul treno, con le valigie e la vita pronta a ripartire. Poi lesse un messaggio e scese all'ultimo secondo.
Tre giorni possono contenere un amore, un vizio e una guerra. Possono creare promesse enormi e lasciare, sul marciapiede di una stazione, qualcuno che non è ancora capace di capire ciò che ha vissuto.
«Ancora Lei» continua il legame centrale di Intrecci Sbagliati.
Leggi la storia dal link nel profilo.
🌐 https://diaridipelle.it/intrecci-sbagliati.html
📕 Cartaceo: https://www.amazon.it/dp/B0GX27ZJ1L
📱 Kindle: https://www.amazon.it/dp/B0GX2JR3F6
#DiariDiPelle #IntrecciSbagliati #AncoraLei #StorieDamore #NarrativaContemporanea</v>
      </c>
      <c r="Q127" s="64" t="str">
        <f>TESTI!J19</f>
        <v>https://diaridipelle.it/intrecci-sbagliati.html</v>
      </c>
      <c r="R127" s="42" t="s">
        <v>188</v>
      </c>
      <c r="S127" s="60" t="s">
        <v>140</v>
      </c>
      <c r="T127" s="60" t="s">
        <v>124</v>
      </c>
      <c r="U127" s="42" t="s">
        <v>351</v>
      </c>
      <c r="V127" s="42" t="str">
        <f t="shared" si="2"/>
        <v/>
      </c>
    </row>
    <row r="128" ht="78.0" customHeight="1">
      <c r="A128" s="60" t="s">
        <v>801</v>
      </c>
      <c r="B128" s="60">
        <v>10.0</v>
      </c>
      <c r="C128" s="61">
        <f>CAMPAGNE!F20</f>
        <v>46295</v>
      </c>
      <c r="D128" s="62">
        <v>0.75</v>
      </c>
      <c r="E128" s="63">
        <f>CAMPAGNE!H20</f>
        <v>46304</v>
      </c>
      <c r="F128" s="60" t="str">
        <f t="shared" si="1"/>
        <v>Venerdì</v>
      </c>
      <c r="G128" s="62">
        <v>0.8333333333333334</v>
      </c>
      <c r="H128" s="60" t="s">
        <v>128</v>
      </c>
      <c r="I128" s="60" t="s">
        <v>131</v>
      </c>
      <c r="J128" s="42" t="s">
        <v>320</v>
      </c>
      <c r="K128" s="60" t="s">
        <v>271</v>
      </c>
      <c r="L128" s="42" t="s">
        <v>421</v>
      </c>
      <c r="M128" s="42" t="s">
        <v>135</v>
      </c>
      <c r="N128" s="42" t="s">
        <v>526</v>
      </c>
      <c r="O128" s="42" t="s">
        <v>527</v>
      </c>
      <c r="P128" s="42" t="str">
        <f>TESTI!E20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#DiariDiPelle #IntrecciSbagliati #Isabella #Torino #RaccontiContemporanei</v>
      </c>
      <c r="Q128" s="64" t="str">
        <f>TESTI!J20</f>
        <v>https://diaridipelle.it/intrecci-sbagliati.html</v>
      </c>
      <c r="R128" s="42" t="s">
        <v>139</v>
      </c>
      <c r="S128" s="60" t="s">
        <v>140</v>
      </c>
      <c r="T128" s="60" t="s">
        <v>124</v>
      </c>
      <c r="U128" s="42" t="s">
        <v>142</v>
      </c>
      <c r="V128" s="42" t="str">
        <f t="shared" si="2"/>
        <v/>
      </c>
    </row>
    <row r="129" ht="78.0" customHeight="1">
      <c r="A129" s="60" t="s">
        <v>802</v>
      </c>
      <c r="B129" s="60">
        <v>10.0</v>
      </c>
      <c r="C129" s="61">
        <f>CAMPAGNE!F20</f>
        <v>46295</v>
      </c>
      <c r="D129" s="62">
        <v>0.75</v>
      </c>
      <c r="E129" s="63">
        <f>CAMPAGNE!H20</f>
        <v>46304</v>
      </c>
      <c r="F129" s="60" t="str">
        <f t="shared" si="1"/>
        <v>Venerdì</v>
      </c>
      <c r="G129" s="62">
        <v>0.8333333333333334</v>
      </c>
      <c r="H129" s="60" t="s">
        <v>152</v>
      </c>
      <c r="I129" s="60" t="s">
        <v>131</v>
      </c>
      <c r="J129" s="42" t="s">
        <v>320</v>
      </c>
      <c r="K129" s="60" t="s">
        <v>271</v>
      </c>
      <c r="L129" s="42" t="s">
        <v>421</v>
      </c>
      <c r="M129" s="42" t="s">
        <v>172</v>
      </c>
      <c r="N129" s="42" t="s">
        <v>526</v>
      </c>
      <c r="O129" s="42" t="s">
        <v>527</v>
      </c>
      <c r="P129" s="42" t="str">
        <f>TESTI!F20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 https://diaridipelle.it/intrecci-sbagliati.html
📕 Cartaceo: https://www.amazon.it/dp/B0GX27ZJ1L
📱 Kindle: https://www.amazon.it/dp/B0GX2JR3F6
#DiariDiPelle #IntrecciSbagliati #Isabella #Torino #RaccontiContemporanei</v>
      </c>
      <c r="Q129" s="64" t="str">
        <f>TESTI!J20</f>
        <v>https://diaridipelle.it/intrecci-sbagliati.html</v>
      </c>
      <c r="R129" s="42" t="s">
        <v>188</v>
      </c>
      <c r="S129" s="60" t="s">
        <v>140</v>
      </c>
      <c r="T129" s="60" t="s">
        <v>124</v>
      </c>
      <c r="U129" s="42" t="s">
        <v>193</v>
      </c>
      <c r="V129" s="42" t="str">
        <f t="shared" si="2"/>
        <v/>
      </c>
    </row>
    <row r="130" ht="78.0" customHeight="1">
      <c r="A130" s="60" t="s">
        <v>803</v>
      </c>
      <c r="B130" s="60">
        <v>10.0</v>
      </c>
      <c r="C130" s="61">
        <f>CAMPAGNE!G20</f>
        <v>46302</v>
      </c>
      <c r="D130" s="62">
        <v>0.75</v>
      </c>
      <c r="E130" s="63">
        <f>CAMPAGNE!H20</f>
        <v>46304</v>
      </c>
      <c r="F130" s="60" t="str">
        <f t="shared" si="1"/>
        <v>Venerdì</v>
      </c>
      <c r="G130" s="62">
        <v>0.8333333333333334</v>
      </c>
      <c r="H130" s="60" t="s">
        <v>213</v>
      </c>
      <c r="I130" s="60" t="s">
        <v>111</v>
      </c>
      <c r="J130" s="42" t="s">
        <v>320</v>
      </c>
      <c r="K130" s="60" t="s">
        <v>271</v>
      </c>
      <c r="L130" s="42" t="s">
        <v>421</v>
      </c>
      <c r="M130" s="42" t="s">
        <v>223</v>
      </c>
      <c r="N130" s="42" t="s">
        <v>526</v>
      </c>
      <c r="O130" s="42" t="s">
        <v>527</v>
      </c>
      <c r="P130" s="42" t="str">
        <f>TESTI!G20</f>
        <v>Tornare a Torino significa attraversare una frontiera senza cambiare Paese: gli stessi corridoi, ma una persona completamente diversa.
«Isabella» da Intrecci Sbagliati.
Scopri il libro dal link in bio.
#DiariDiPelle #IntrecciSbagliati #BookTokItalia #LibriTikTok</v>
      </c>
      <c r="Q130" s="64" t="str">
        <f>TESTI!J20</f>
        <v>https://diaridipelle.it/intrecci-sbagliati.html</v>
      </c>
      <c r="R130" s="42" t="s">
        <v>138</v>
      </c>
      <c r="S130" s="60" t="s">
        <v>231</v>
      </c>
      <c r="T130" s="60" t="s">
        <v>124</v>
      </c>
      <c r="U130" s="42" t="s">
        <v>234</v>
      </c>
      <c r="V130" s="42" t="str">
        <f t="shared" si="2"/>
        <v/>
      </c>
    </row>
    <row r="131" ht="78.0" customHeight="1">
      <c r="A131" s="60" t="s">
        <v>804</v>
      </c>
      <c r="B131" s="60">
        <v>10.0</v>
      </c>
      <c r="C131" s="61">
        <f>CAMPAGNE!I20</f>
        <v>46305</v>
      </c>
      <c r="D131" s="62">
        <v>0.4965277777777778</v>
      </c>
      <c r="E131" s="63">
        <f>CAMPAGNE!I20</f>
        <v>46305</v>
      </c>
      <c r="F131" s="60" t="str">
        <f t="shared" si="1"/>
        <v>Sabato</v>
      </c>
      <c r="G131" s="62">
        <v>0.5</v>
      </c>
      <c r="H131" s="60" t="s">
        <v>128</v>
      </c>
      <c r="I131" s="60" t="s">
        <v>170</v>
      </c>
      <c r="J131" s="42" t="s">
        <v>320</v>
      </c>
      <c r="K131" s="60" t="s">
        <v>271</v>
      </c>
      <c r="L131" s="42" t="s">
        <v>421</v>
      </c>
      <c r="M131" s="42" t="s">
        <v>252</v>
      </c>
      <c r="N131" s="42" t="s">
        <v>528</v>
      </c>
      <c r="O131" s="42" t="s">
        <v>805</v>
      </c>
      <c r="P131" s="42" t="str">
        <f>TESTI!N20</f>
        <v>Tocca SCOPRI IL LIBRO e scegli cartaceo o Kindle.</v>
      </c>
      <c r="Q131" s="64" t="str">
        <f>TESTI!H20</f>
        <v>https://diaridipelle.it/intrecci-sbagliati.html?utm_source=instagram&amp;utm_medium=story&amp;utm_campaign=intrecci_sbagliati&amp;utm_content=ch07</v>
      </c>
      <c r="R131" s="42" t="s">
        <v>139</v>
      </c>
      <c r="S131" s="60" t="s">
        <v>79</v>
      </c>
      <c r="T131" s="60" t="s">
        <v>124</v>
      </c>
      <c r="U131" s="42" t="s">
        <v>262</v>
      </c>
      <c r="V131" s="42" t="str">
        <f t="shared" si="2"/>
        <v/>
      </c>
    </row>
    <row r="132" ht="78.0" customHeight="1">
      <c r="A132" s="60" t="s">
        <v>806</v>
      </c>
      <c r="B132" s="60">
        <v>10.0</v>
      </c>
      <c r="C132" s="61">
        <f>CAMPAGNE!F20</f>
        <v>46295</v>
      </c>
      <c r="D132" s="62">
        <v>0.75</v>
      </c>
      <c r="E132" s="63">
        <f>CAMPAGNE!I20</f>
        <v>46305</v>
      </c>
      <c r="F132" s="60" t="str">
        <f t="shared" si="1"/>
        <v>Sabato</v>
      </c>
      <c r="G132" s="62">
        <v>0.5</v>
      </c>
      <c r="H132" s="60" t="s">
        <v>152</v>
      </c>
      <c r="I132" s="60" t="s">
        <v>170</v>
      </c>
      <c r="J132" s="42" t="s">
        <v>320</v>
      </c>
      <c r="K132" s="60" t="s">
        <v>271</v>
      </c>
      <c r="L132" s="42" t="s">
        <v>421</v>
      </c>
      <c r="M132" s="42" t="s">
        <v>285</v>
      </c>
      <c r="N132" s="42" t="s">
        <v>528</v>
      </c>
      <c r="O132" s="42" t="s">
        <v>805</v>
      </c>
      <c r="P132" s="42" t="str">
        <f>TESTI!N20</f>
        <v>Tocca SCOPRI IL LIBRO e scegli cartaceo o Kindle.</v>
      </c>
      <c r="Q132" s="64" t="str">
        <f>TESTI!I20</f>
        <v>https://diaridipelle.it/intrecci-sbagliati.html?utm_source=facebook&amp;utm_medium=story&amp;utm_campaign=intrecci_sbagliati&amp;utm_content=ch07</v>
      </c>
      <c r="R132" s="42" t="s">
        <v>188</v>
      </c>
      <c r="S132" s="60" t="s">
        <v>140</v>
      </c>
      <c r="T132" s="60" t="s">
        <v>124</v>
      </c>
      <c r="U132" s="42" t="s">
        <v>294</v>
      </c>
      <c r="V132" s="42" t="str">
        <f t="shared" si="2"/>
        <v/>
      </c>
    </row>
    <row r="133" ht="78.0" customHeight="1">
      <c r="A133" s="60" t="s">
        <v>807</v>
      </c>
      <c r="B133" s="60">
        <v>10.0</v>
      </c>
      <c r="C133" s="61">
        <f>CAMPAGNE!F20</f>
        <v>46295</v>
      </c>
      <c r="D133" s="62">
        <v>0.75</v>
      </c>
      <c r="E133" s="63">
        <f>CAMPAGNE!J20</f>
        <v>46306</v>
      </c>
      <c r="F133" s="60" t="str">
        <f t="shared" si="1"/>
        <v>Domenica</v>
      </c>
      <c r="G133" s="62">
        <v>0.8333333333333334</v>
      </c>
      <c r="H133" s="60" t="s">
        <v>128</v>
      </c>
      <c r="I133" s="60" t="s">
        <v>119</v>
      </c>
      <c r="J133" s="42" t="s">
        <v>320</v>
      </c>
      <c r="K133" s="60" t="s">
        <v>271</v>
      </c>
      <c r="L133" s="42" t="s">
        <v>421</v>
      </c>
      <c r="M133" s="42" t="s">
        <v>313</v>
      </c>
      <c r="N133" s="42" t="s">
        <v>529</v>
      </c>
      <c r="O133" s="42" t="s">
        <v>316</v>
      </c>
      <c r="P133" s="42" t="str">
        <f>TESTI!E20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#DiariDiPelle #IntrecciSbagliati #Isabella #Torino #RaccontiContemporanei</v>
      </c>
      <c r="Q133" s="64" t="str">
        <f>TESTI!J20</f>
        <v>https://diaridipelle.it/intrecci-sbagliati.html</v>
      </c>
      <c r="R133" s="42" t="s">
        <v>139</v>
      </c>
      <c r="S133" s="60" t="s">
        <v>140</v>
      </c>
      <c r="T133" s="60" t="s">
        <v>124</v>
      </c>
      <c r="U133" s="42" t="s">
        <v>328</v>
      </c>
      <c r="V133" s="42" t="str">
        <f t="shared" si="2"/>
        <v/>
      </c>
    </row>
    <row r="134" ht="78.0" customHeight="1">
      <c r="A134" s="60" t="s">
        <v>808</v>
      </c>
      <c r="B134" s="60">
        <v>10.0</v>
      </c>
      <c r="C134" s="61">
        <f>CAMPAGNE!F20</f>
        <v>46295</v>
      </c>
      <c r="D134" s="62">
        <v>0.75</v>
      </c>
      <c r="E134" s="63">
        <f>CAMPAGNE!J20</f>
        <v>46306</v>
      </c>
      <c r="F134" s="60" t="str">
        <f t="shared" si="1"/>
        <v>Domenica</v>
      </c>
      <c r="G134" s="62">
        <v>0.8333333333333334</v>
      </c>
      <c r="H134" s="60" t="s">
        <v>152</v>
      </c>
      <c r="I134" s="60" t="s">
        <v>119</v>
      </c>
      <c r="J134" s="42" t="s">
        <v>320</v>
      </c>
      <c r="K134" s="60" t="s">
        <v>271</v>
      </c>
      <c r="L134" s="42" t="s">
        <v>421</v>
      </c>
      <c r="M134" s="42" t="s">
        <v>313</v>
      </c>
      <c r="N134" s="42" t="s">
        <v>529</v>
      </c>
      <c r="O134" s="42" t="s">
        <v>316</v>
      </c>
      <c r="P134" s="42" t="str">
        <f>TESTI!F20</f>
        <v>Tornare a Torino significa attraversare una frontiera senza cambiare Paese: gli stessi corridoi, ma una persona completamente diversa.
Isabella arriva durante un esame e porta entrambi fuori dal proprio ruolo. Il giorno dopo, davanti a un altro foglio, le formule non hanno più consistenza.
Ci sono notti che non ti fanno avanzare negli studi, ma ti fanno avanzare di anni dentro te stesso.
Scopri Intrecci Sbagliati dal link nel profilo.
🌐 https://diaridipelle.it/intrecci-sbagliati.html
📕 Cartaceo: https://www.amazon.it/dp/B0GX27ZJ1L
📱 Kindle: https://www.amazon.it/dp/B0GX2JR3F6
#DiariDiPelle #IntrecciSbagliati #Isabella #Torino #RaccontiContemporanei</v>
      </c>
      <c r="Q134" s="64" t="str">
        <f>TESTI!J20</f>
        <v>https://diaridipelle.it/intrecci-sbagliati.html</v>
      </c>
      <c r="R134" s="42" t="s">
        <v>188</v>
      </c>
      <c r="S134" s="60" t="s">
        <v>140</v>
      </c>
      <c r="T134" s="60" t="s">
        <v>124</v>
      </c>
      <c r="U134" s="42" t="s">
        <v>351</v>
      </c>
      <c r="V134" s="42" t="str">
        <f t="shared" si="2"/>
        <v/>
      </c>
    </row>
    <row r="135" ht="78.0" customHeight="1">
      <c r="A135" s="60" t="s">
        <v>809</v>
      </c>
      <c r="B135" s="60">
        <v>10.0</v>
      </c>
      <c r="C135" s="61">
        <f>CAMPAGNE!F21</f>
        <v>46295</v>
      </c>
      <c r="D135" s="62">
        <v>0.75</v>
      </c>
      <c r="E135" s="63">
        <f>CAMPAGNE!H21</f>
        <v>46307</v>
      </c>
      <c r="F135" s="60" t="str">
        <f t="shared" si="1"/>
        <v>Lunedì</v>
      </c>
      <c r="G135" s="62">
        <v>0.8333333333333334</v>
      </c>
      <c r="H135" s="60" t="s">
        <v>128</v>
      </c>
      <c r="I135" s="60" t="s">
        <v>131</v>
      </c>
      <c r="J135" s="42" t="s">
        <v>320</v>
      </c>
      <c r="K135" s="60" t="s">
        <v>281</v>
      </c>
      <c r="L135" s="42" t="s">
        <v>436</v>
      </c>
      <c r="M135" s="42" t="s">
        <v>135</v>
      </c>
      <c r="N135" s="42" t="s">
        <v>545</v>
      </c>
      <c r="O135" s="42" t="s">
        <v>547</v>
      </c>
      <c r="P135" s="42" t="str">
        <f>TESTI!E21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#DiariDiPelle #IntrecciSbagliati #Puglia #PromesseMantenute #LibriItaliani</v>
      </c>
      <c r="Q135" s="64" t="str">
        <f>TESTI!J21</f>
        <v>https://diaridipelle.it/intrecci-sbagliati.html</v>
      </c>
      <c r="R135" s="42" t="s">
        <v>139</v>
      </c>
      <c r="S135" s="60" t="s">
        <v>140</v>
      </c>
      <c r="T135" s="60" t="s">
        <v>124</v>
      </c>
      <c r="U135" s="42" t="s">
        <v>142</v>
      </c>
      <c r="V135" s="42" t="str">
        <f t="shared" si="2"/>
        <v/>
      </c>
    </row>
    <row r="136" ht="78.0" customHeight="1">
      <c r="A136" s="60" t="s">
        <v>810</v>
      </c>
      <c r="B136" s="60">
        <v>10.0</v>
      </c>
      <c r="C136" s="61">
        <f>CAMPAGNE!F21</f>
        <v>46295</v>
      </c>
      <c r="D136" s="62">
        <v>0.75</v>
      </c>
      <c r="E136" s="63">
        <f>CAMPAGNE!H21</f>
        <v>46307</v>
      </c>
      <c r="F136" s="60" t="str">
        <f t="shared" si="1"/>
        <v>Lunedì</v>
      </c>
      <c r="G136" s="62">
        <v>0.8333333333333334</v>
      </c>
      <c r="H136" s="60" t="s">
        <v>152</v>
      </c>
      <c r="I136" s="60" t="s">
        <v>131</v>
      </c>
      <c r="J136" s="42" t="s">
        <v>320</v>
      </c>
      <c r="K136" s="60" t="s">
        <v>281</v>
      </c>
      <c r="L136" s="42" t="s">
        <v>436</v>
      </c>
      <c r="M136" s="42" t="s">
        <v>172</v>
      </c>
      <c r="N136" s="42" t="s">
        <v>545</v>
      </c>
      <c r="O136" s="42" t="s">
        <v>547</v>
      </c>
      <c r="P136" s="42" t="str">
        <f>TESTI!F21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 https://diaridipelle.it/intrecci-sbagliati.html
📕 Cartaceo: https://www.amazon.it/dp/B0GX27ZJ1L
📱 Kindle: https://www.amazon.it/dp/B0GX2JR3F6
#DiariDiPelle #IntrecciSbagliati #Puglia #PromesseMantenute #LibriItaliani</v>
      </c>
      <c r="Q136" s="64" t="str">
        <f>TESTI!J21</f>
        <v>https://diaridipelle.it/intrecci-sbagliati.html</v>
      </c>
      <c r="R136" s="42" t="s">
        <v>188</v>
      </c>
      <c r="S136" s="60" t="s">
        <v>140</v>
      </c>
      <c r="T136" s="60" t="s">
        <v>124</v>
      </c>
      <c r="U136" s="42" t="s">
        <v>193</v>
      </c>
      <c r="V136" s="42" t="str">
        <f t="shared" si="2"/>
        <v/>
      </c>
    </row>
    <row r="137" ht="78.0" customHeight="1">
      <c r="A137" s="60" t="s">
        <v>811</v>
      </c>
      <c r="B137" s="60">
        <v>10.0</v>
      </c>
      <c r="C137" s="61">
        <f>CAMPAGNE!G21</f>
        <v>46302</v>
      </c>
      <c r="D137" s="62">
        <v>0.75</v>
      </c>
      <c r="E137" s="63">
        <f>CAMPAGNE!H21</f>
        <v>46307</v>
      </c>
      <c r="F137" s="60" t="str">
        <f t="shared" si="1"/>
        <v>Lunedì</v>
      </c>
      <c r="G137" s="62">
        <v>0.8333333333333334</v>
      </c>
      <c r="H137" s="60" t="s">
        <v>213</v>
      </c>
      <c r="I137" s="60" t="s">
        <v>111</v>
      </c>
      <c r="J137" s="42" t="s">
        <v>320</v>
      </c>
      <c r="K137" s="60" t="s">
        <v>281</v>
      </c>
      <c r="L137" s="42" t="s">
        <v>436</v>
      </c>
      <c r="M137" s="42" t="s">
        <v>223</v>
      </c>
      <c r="N137" s="42" t="s">
        <v>545</v>
      </c>
      <c r="O137" s="42" t="s">
        <v>547</v>
      </c>
      <c r="P137" s="42" t="str">
        <f>TESTI!G21</f>
        <v>Ella attraversa mezza Europa per raggiungerlo in Puglia.
«Promesse mantenute» da Intrecci Sbagliati.
Scopri il libro dal link in bio.
#DiariDiPelle #IntrecciSbagliati #BookTokItalia #LibriTikTok</v>
      </c>
      <c r="Q137" s="64" t="str">
        <f>TESTI!J21</f>
        <v>https://diaridipelle.it/intrecci-sbagliati.html</v>
      </c>
      <c r="R137" s="42" t="s">
        <v>138</v>
      </c>
      <c r="S137" s="60" t="s">
        <v>231</v>
      </c>
      <c r="T137" s="60" t="s">
        <v>124</v>
      </c>
      <c r="U137" s="42" t="s">
        <v>234</v>
      </c>
      <c r="V137" s="42" t="str">
        <f t="shared" si="2"/>
        <v/>
      </c>
    </row>
    <row r="138" ht="78.0" customHeight="1">
      <c r="A138" s="60" t="s">
        <v>812</v>
      </c>
      <c r="B138" s="60">
        <v>10.0</v>
      </c>
      <c r="C138" s="61">
        <f>CAMPAGNE!I21</f>
        <v>46308</v>
      </c>
      <c r="D138" s="62">
        <v>0.4965277777777778</v>
      </c>
      <c r="E138" s="63">
        <f>CAMPAGNE!I21</f>
        <v>46308</v>
      </c>
      <c r="F138" s="60" t="str">
        <f t="shared" si="1"/>
        <v>Martedì</v>
      </c>
      <c r="G138" s="62">
        <v>0.5</v>
      </c>
      <c r="H138" s="60" t="s">
        <v>128</v>
      </c>
      <c r="I138" s="60" t="s">
        <v>170</v>
      </c>
      <c r="J138" s="42" t="s">
        <v>320</v>
      </c>
      <c r="K138" s="60" t="s">
        <v>281</v>
      </c>
      <c r="L138" s="42" t="s">
        <v>436</v>
      </c>
      <c r="M138" s="42" t="s">
        <v>252</v>
      </c>
      <c r="N138" s="42" t="s">
        <v>548</v>
      </c>
      <c r="O138" s="42" t="s">
        <v>813</v>
      </c>
      <c r="P138" s="42" t="str">
        <f>TESTI!N21</f>
        <v>Tocca SCOPRI IL LIBRO e scegli cartaceo o Kindle.</v>
      </c>
      <c r="Q138" s="64" t="str">
        <f>TESTI!H21</f>
        <v>https://diaridipelle.it/intrecci-sbagliati.html?utm_source=instagram&amp;utm_medium=story&amp;utm_campaign=intrecci_sbagliati&amp;utm_content=ch08</v>
      </c>
      <c r="R138" s="42" t="s">
        <v>139</v>
      </c>
      <c r="S138" s="60" t="s">
        <v>79</v>
      </c>
      <c r="T138" s="60" t="s">
        <v>124</v>
      </c>
      <c r="U138" s="42" t="s">
        <v>262</v>
      </c>
      <c r="V138" s="42" t="str">
        <f t="shared" si="2"/>
        <v/>
      </c>
    </row>
    <row r="139" ht="78.0" customHeight="1">
      <c r="A139" s="60" t="s">
        <v>814</v>
      </c>
      <c r="B139" s="60">
        <v>10.0</v>
      </c>
      <c r="C139" s="61">
        <f>CAMPAGNE!F21</f>
        <v>46295</v>
      </c>
      <c r="D139" s="62">
        <v>0.75</v>
      </c>
      <c r="E139" s="63">
        <f>CAMPAGNE!I21</f>
        <v>46308</v>
      </c>
      <c r="F139" s="60" t="str">
        <f t="shared" si="1"/>
        <v>Martedì</v>
      </c>
      <c r="G139" s="62">
        <v>0.5</v>
      </c>
      <c r="H139" s="60" t="s">
        <v>152</v>
      </c>
      <c r="I139" s="60" t="s">
        <v>170</v>
      </c>
      <c r="J139" s="42" t="s">
        <v>320</v>
      </c>
      <c r="K139" s="60" t="s">
        <v>281</v>
      </c>
      <c r="L139" s="42" t="s">
        <v>436</v>
      </c>
      <c r="M139" s="42" t="s">
        <v>285</v>
      </c>
      <c r="N139" s="42" t="s">
        <v>548</v>
      </c>
      <c r="O139" s="42" t="s">
        <v>813</v>
      </c>
      <c r="P139" s="42" t="str">
        <f>TESTI!N21</f>
        <v>Tocca SCOPRI IL LIBRO e scegli cartaceo o Kindle.</v>
      </c>
      <c r="Q139" s="64" t="str">
        <f>TESTI!I21</f>
        <v>https://diaridipelle.it/intrecci-sbagliati.html?utm_source=facebook&amp;utm_medium=story&amp;utm_campaign=intrecci_sbagliati&amp;utm_content=ch08</v>
      </c>
      <c r="R139" s="42" t="s">
        <v>188</v>
      </c>
      <c r="S139" s="60" t="s">
        <v>140</v>
      </c>
      <c r="T139" s="60" t="s">
        <v>124</v>
      </c>
      <c r="U139" s="42" t="s">
        <v>294</v>
      </c>
      <c r="V139" s="42" t="str">
        <f t="shared" si="2"/>
        <v/>
      </c>
    </row>
    <row r="140" ht="78.0" customHeight="1">
      <c r="A140" s="60" t="s">
        <v>815</v>
      </c>
      <c r="B140" s="60">
        <v>10.0</v>
      </c>
      <c r="C140" s="61">
        <f>CAMPAGNE!F21</f>
        <v>46295</v>
      </c>
      <c r="D140" s="62">
        <v>0.75</v>
      </c>
      <c r="E140" s="63">
        <f>CAMPAGNE!J21</f>
        <v>46309</v>
      </c>
      <c r="F140" s="60" t="str">
        <f t="shared" si="1"/>
        <v>Mercoledì</v>
      </c>
      <c r="G140" s="62">
        <v>0.4583333333333333</v>
      </c>
      <c r="H140" s="60" t="s">
        <v>128</v>
      </c>
      <c r="I140" s="60" t="s">
        <v>119</v>
      </c>
      <c r="J140" s="42" t="s">
        <v>320</v>
      </c>
      <c r="K140" s="60" t="s">
        <v>281</v>
      </c>
      <c r="L140" s="42" t="s">
        <v>436</v>
      </c>
      <c r="M140" s="42" t="s">
        <v>313</v>
      </c>
      <c r="N140" s="42" t="s">
        <v>550</v>
      </c>
      <c r="O140" s="42" t="s">
        <v>316</v>
      </c>
      <c r="P140" s="42" t="str">
        <f>TESTI!E21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#DiariDiPelle #IntrecciSbagliati #Puglia #PromesseMantenute #LibriItaliani</v>
      </c>
      <c r="Q140" s="64" t="str">
        <f>TESTI!J21</f>
        <v>https://diaridipelle.it/intrecci-sbagliati.html</v>
      </c>
      <c r="R140" s="42" t="s">
        <v>139</v>
      </c>
      <c r="S140" s="60" t="s">
        <v>140</v>
      </c>
      <c r="T140" s="60" t="s">
        <v>124</v>
      </c>
      <c r="U140" s="42" t="s">
        <v>328</v>
      </c>
      <c r="V140" s="42" t="str">
        <f t="shared" si="2"/>
        <v/>
      </c>
    </row>
    <row r="141" ht="78.0" customHeight="1">
      <c r="A141" s="60" t="s">
        <v>816</v>
      </c>
      <c r="B141" s="60">
        <v>10.0</v>
      </c>
      <c r="C141" s="61">
        <f>CAMPAGNE!F21</f>
        <v>46295</v>
      </c>
      <c r="D141" s="62">
        <v>0.75</v>
      </c>
      <c r="E141" s="63">
        <f>CAMPAGNE!J21</f>
        <v>46309</v>
      </c>
      <c r="F141" s="60" t="str">
        <f t="shared" si="1"/>
        <v>Mercoledì</v>
      </c>
      <c r="G141" s="62">
        <v>0.4583333333333333</v>
      </c>
      <c r="H141" s="60" t="s">
        <v>152</v>
      </c>
      <c r="I141" s="60" t="s">
        <v>119</v>
      </c>
      <c r="J141" s="42" t="s">
        <v>320</v>
      </c>
      <c r="K141" s="60" t="s">
        <v>281</v>
      </c>
      <c r="L141" s="42" t="s">
        <v>436</v>
      </c>
      <c r="M141" s="42" t="s">
        <v>313</v>
      </c>
      <c r="N141" s="42" t="s">
        <v>550</v>
      </c>
      <c r="O141" s="42" t="s">
        <v>316</v>
      </c>
      <c r="P141" s="42" t="str">
        <f>TESTI!F21</f>
        <v>Ella attraversa mezza Europa per raggiungerlo in Puglia.
Quello che doveva essere un ritorno, una festa e una rivincita diventa qualcosa di molto più scomodo: la prova che non sta più cercando soltanto notti e numeri. Un corpo preciso è diventato struttura, abitudine, mancanza.
«Promesse mantenute» è l'ottavo capitolo di Intrecci Sbagliati.
Continua la storia completa dal link nel profilo.
🌐 https://diaridipelle.it/intrecci-sbagliati.html
📕 Cartaceo: https://www.amazon.it/dp/B0GX27ZJ1L
📱 Kindle: https://www.amazon.it/dp/B0GX2JR3F6
#DiariDiPelle #IntrecciSbagliati #Puglia #PromesseMantenute #LibriItaliani</v>
      </c>
      <c r="Q141" s="64" t="str">
        <f>TESTI!J21</f>
        <v>https://diaridipelle.it/intrecci-sbagliati.html</v>
      </c>
      <c r="R141" s="42" t="s">
        <v>188</v>
      </c>
      <c r="S141" s="60" t="s">
        <v>140</v>
      </c>
      <c r="T141" s="60" t="s">
        <v>124</v>
      </c>
      <c r="U141" s="42" t="s">
        <v>351</v>
      </c>
      <c r="V141" s="42" t="str">
        <f t="shared" si="2"/>
        <v/>
      </c>
    </row>
    <row r="142" ht="78.0" customHeight="1">
      <c r="A142" s="60" t="s">
        <v>817</v>
      </c>
      <c r="B142" s="60">
        <v>11.0</v>
      </c>
      <c r="C142" s="61">
        <f>CAMPAGNE!F22</f>
        <v>46295</v>
      </c>
      <c r="D142" s="62">
        <v>0.75</v>
      </c>
      <c r="E142" s="63">
        <f>CAMPAGNE!H22</f>
        <v>46311</v>
      </c>
      <c r="F142" s="60" t="str">
        <f t="shared" si="1"/>
        <v>Venerdì</v>
      </c>
      <c r="G142" s="62">
        <v>0.8333333333333334</v>
      </c>
      <c r="H142" s="60" t="s">
        <v>128</v>
      </c>
      <c r="I142" s="60" t="s">
        <v>131</v>
      </c>
      <c r="J142" s="42" t="s">
        <v>320</v>
      </c>
      <c r="K142" s="60" t="s">
        <v>292</v>
      </c>
      <c r="L142" s="42" t="s">
        <v>272</v>
      </c>
      <c r="M142" s="42" t="s">
        <v>135</v>
      </c>
      <c r="N142" s="42" t="s">
        <v>560</v>
      </c>
      <c r="O142" s="42" t="s">
        <v>561</v>
      </c>
      <c r="P142" s="42" t="str">
        <f>TESTI!E22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#DiariDiPelle #IntrecciSbagliati #Virginia #Barcellona #NarrativaPsicologica</v>
      </c>
      <c r="Q142" s="64" t="str">
        <f>TESTI!J22</f>
        <v>https://diaridipelle.it/intrecci-sbagliati.html</v>
      </c>
      <c r="R142" s="42" t="s">
        <v>139</v>
      </c>
      <c r="S142" s="60" t="s">
        <v>140</v>
      </c>
      <c r="T142" s="60" t="s">
        <v>124</v>
      </c>
      <c r="U142" s="42" t="s">
        <v>142</v>
      </c>
      <c r="V142" s="42" t="str">
        <f t="shared" si="2"/>
        <v/>
      </c>
    </row>
    <row r="143" ht="78.0" customHeight="1">
      <c r="A143" s="60" t="s">
        <v>818</v>
      </c>
      <c r="B143" s="60">
        <v>11.0</v>
      </c>
      <c r="C143" s="61">
        <f>CAMPAGNE!F22</f>
        <v>46295</v>
      </c>
      <c r="D143" s="62">
        <v>0.75</v>
      </c>
      <c r="E143" s="63">
        <f>CAMPAGNE!H22</f>
        <v>46311</v>
      </c>
      <c r="F143" s="60" t="str">
        <f t="shared" si="1"/>
        <v>Venerdì</v>
      </c>
      <c r="G143" s="62">
        <v>0.8333333333333334</v>
      </c>
      <c r="H143" s="60" t="s">
        <v>152</v>
      </c>
      <c r="I143" s="60" t="s">
        <v>131</v>
      </c>
      <c r="J143" s="42" t="s">
        <v>320</v>
      </c>
      <c r="K143" s="60" t="s">
        <v>292</v>
      </c>
      <c r="L143" s="42" t="s">
        <v>272</v>
      </c>
      <c r="M143" s="42" t="s">
        <v>172</v>
      </c>
      <c r="N143" s="42" t="s">
        <v>560</v>
      </c>
      <c r="O143" s="42" t="s">
        <v>561</v>
      </c>
      <c r="P143" s="42" t="str">
        <f>TESTI!F22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 https://diaridipelle.it/intrecci-sbagliati.html
📕 Cartaceo: https://www.amazon.it/dp/B0GX27ZJ1L
📱 Kindle: https://www.amazon.it/dp/B0GX2JR3F6
#DiariDiPelle #IntrecciSbagliati #Virginia #Barcellona #NarrativaPsicologica</v>
      </c>
      <c r="Q143" s="64" t="str">
        <f>TESTI!J22</f>
        <v>https://diaridipelle.it/intrecci-sbagliati.html</v>
      </c>
      <c r="R143" s="42" t="s">
        <v>188</v>
      </c>
      <c r="S143" s="60" t="s">
        <v>140</v>
      </c>
      <c r="T143" s="60" t="s">
        <v>124</v>
      </c>
      <c r="U143" s="42" t="s">
        <v>193</v>
      </c>
      <c r="V143" s="42" t="str">
        <f t="shared" si="2"/>
        <v/>
      </c>
    </row>
    <row r="144" ht="78.0" customHeight="1">
      <c r="A144" s="60" t="s">
        <v>819</v>
      </c>
      <c r="B144" s="60">
        <v>11.0</v>
      </c>
      <c r="C144" s="61">
        <f>CAMPAGNE!G22</f>
        <v>46309</v>
      </c>
      <c r="D144" s="62">
        <v>0.75</v>
      </c>
      <c r="E144" s="63">
        <f>CAMPAGNE!H22</f>
        <v>46311</v>
      </c>
      <c r="F144" s="60" t="str">
        <f t="shared" si="1"/>
        <v>Venerdì</v>
      </c>
      <c r="G144" s="62">
        <v>0.8333333333333334</v>
      </c>
      <c r="H144" s="60" t="s">
        <v>213</v>
      </c>
      <c r="I144" s="60" t="s">
        <v>111</v>
      </c>
      <c r="J144" s="42" t="s">
        <v>320</v>
      </c>
      <c r="K144" s="60" t="s">
        <v>292</v>
      </c>
      <c r="L144" s="42" t="s">
        <v>272</v>
      </c>
      <c r="M144" s="42" t="s">
        <v>223</v>
      </c>
      <c r="N144" s="42" t="s">
        <v>560</v>
      </c>
      <c r="O144" s="42" t="s">
        <v>561</v>
      </c>
      <c r="P144" s="42" t="str">
        <f>TESTI!G22</f>
        <v>La casa nuova sembra un castello, ma amplifica ogni litigio. Barcellona diventa di nuovo una fuga.
«Virginia» da Intrecci Sbagliati.
Scopri il libro dal link in bio.
#DiariDiPelle #IntrecciSbagliati #BookTokItalia #LibriTikTok</v>
      </c>
      <c r="Q144" s="64" t="str">
        <f>TESTI!J22</f>
        <v>https://diaridipelle.it/intrecci-sbagliati.html</v>
      </c>
      <c r="R144" s="42" t="s">
        <v>138</v>
      </c>
      <c r="S144" s="60" t="s">
        <v>231</v>
      </c>
      <c r="T144" s="60" t="s">
        <v>124</v>
      </c>
      <c r="U144" s="42" t="s">
        <v>234</v>
      </c>
      <c r="V144" s="42" t="str">
        <f t="shared" si="2"/>
        <v/>
      </c>
    </row>
    <row r="145" ht="78.0" customHeight="1">
      <c r="A145" s="60" t="s">
        <v>820</v>
      </c>
      <c r="B145" s="60">
        <v>11.0</v>
      </c>
      <c r="C145" s="61">
        <f>CAMPAGNE!I22</f>
        <v>46312</v>
      </c>
      <c r="D145" s="62">
        <v>0.4965277777777778</v>
      </c>
      <c r="E145" s="63">
        <f>CAMPAGNE!I22</f>
        <v>46312</v>
      </c>
      <c r="F145" s="60" t="str">
        <f t="shared" si="1"/>
        <v>Sabato</v>
      </c>
      <c r="G145" s="62">
        <v>0.5</v>
      </c>
      <c r="H145" s="60" t="s">
        <v>128</v>
      </c>
      <c r="I145" s="60" t="s">
        <v>170</v>
      </c>
      <c r="J145" s="42" t="s">
        <v>320</v>
      </c>
      <c r="K145" s="60" t="s">
        <v>292</v>
      </c>
      <c r="L145" s="42" t="s">
        <v>272</v>
      </c>
      <c r="M145" s="42" t="s">
        <v>252</v>
      </c>
      <c r="N145" s="42" t="s">
        <v>563</v>
      </c>
      <c r="O145" s="42" t="s">
        <v>821</v>
      </c>
      <c r="P145" s="42" t="str">
        <f>TESTI!N22</f>
        <v>Tocca SCOPRI IL LIBRO e scegli cartaceo o Kindle.</v>
      </c>
      <c r="Q145" s="64" t="str">
        <f>TESTI!H22</f>
        <v>https://diaridipelle.it/intrecci-sbagliati.html?utm_source=instagram&amp;utm_medium=story&amp;utm_campaign=intrecci_sbagliati&amp;utm_content=ch09</v>
      </c>
      <c r="R145" s="42" t="s">
        <v>139</v>
      </c>
      <c r="S145" s="60" t="s">
        <v>79</v>
      </c>
      <c r="T145" s="60" t="s">
        <v>124</v>
      </c>
      <c r="U145" s="42" t="s">
        <v>262</v>
      </c>
      <c r="V145" s="42" t="str">
        <f t="shared" si="2"/>
        <v/>
      </c>
    </row>
    <row r="146" ht="78.0" customHeight="1">
      <c r="A146" s="60" t="s">
        <v>822</v>
      </c>
      <c r="B146" s="60">
        <v>11.0</v>
      </c>
      <c r="C146" s="61">
        <f>CAMPAGNE!F22</f>
        <v>46295</v>
      </c>
      <c r="D146" s="62">
        <v>0.75</v>
      </c>
      <c r="E146" s="63">
        <f>CAMPAGNE!I22</f>
        <v>46312</v>
      </c>
      <c r="F146" s="60" t="str">
        <f t="shared" si="1"/>
        <v>Sabato</v>
      </c>
      <c r="G146" s="62">
        <v>0.5</v>
      </c>
      <c r="H146" s="60" t="s">
        <v>152</v>
      </c>
      <c r="I146" s="60" t="s">
        <v>170</v>
      </c>
      <c r="J146" s="42" t="s">
        <v>320</v>
      </c>
      <c r="K146" s="60" t="s">
        <v>292</v>
      </c>
      <c r="L146" s="42" t="s">
        <v>272</v>
      </c>
      <c r="M146" s="42" t="s">
        <v>285</v>
      </c>
      <c r="N146" s="42" t="s">
        <v>563</v>
      </c>
      <c r="O146" s="42" t="s">
        <v>821</v>
      </c>
      <c r="P146" s="42" t="str">
        <f>TESTI!N22</f>
        <v>Tocca SCOPRI IL LIBRO e scegli cartaceo o Kindle.</v>
      </c>
      <c r="Q146" s="64" t="str">
        <f>TESTI!I22</f>
        <v>https://diaridipelle.it/intrecci-sbagliati.html?utm_source=facebook&amp;utm_medium=story&amp;utm_campaign=intrecci_sbagliati&amp;utm_content=ch09</v>
      </c>
      <c r="R146" s="42" t="s">
        <v>188</v>
      </c>
      <c r="S146" s="60" t="s">
        <v>140</v>
      </c>
      <c r="T146" s="60" t="s">
        <v>124</v>
      </c>
      <c r="U146" s="42" t="s">
        <v>294</v>
      </c>
      <c r="V146" s="42" t="str">
        <f t="shared" si="2"/>
        <v/>
      </c>
    </row>
    <row r="147" ht="78.0" customHeight="1">
      <c r="A147" s="60" t="s">
        <v>823</v>
      </c>
      <c r="B147" s="60">
        <v>11.0</v>
      </c>
      <c r="C147" s="61">
        <f>CAMPAGNE!F22</f>
        <v>46295</v>
      </c>
      <c r="D147" s="62">
        <v>0.75</v>
      </c>
      <c r="E147" s="63">
        <f>CAMPAGNE!J22</f>
        <v>46313</v>
      </c>
      <c r="F147" s="60" t="str">
        <f t="shared" si="1"/>
        <v>Domenica</v>
      </c>
      <c r="G147" s="62">
        <v>0.8333333333333334</v>
      </c>
      <c r="H147" s="60" t="s">
        <v>128</v>
      </c>
      <c r="I147" s="60" t="s">
        <v>119</v>
      </c>
      <c r="J147" s="42" t="s">
        <v>320</v>
      </c>
      <c r="K147" s="60" t="s">
        <v>292</v>
      </c>
      <c r="L147" s="42" t="s">
        <v>272</v>
      </c>
      <c r="M147" s="42" t="s">
        <v>313</v>
      </c>
      <c r="N147" s="42" t="s">
        <v>564</v>
      </c>
      <c r="O147" s="42" t="s">
        <v>316</v>
      </c>
      <c r="P147" s="42" t="str">
        <f>TESTI!E22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#DiariDiPelle #IntrecciSbagliati #Virginia #Barcellona #NarrativaPsicologica</v>
      </c>
      <c r="Q147" s="64" t="str">
        <f>TESTI!J22</f>
        <v>https://diaridipelle.it/intrecci-sbagliati.html</v>
      </c>
      <c r="R147" s="42" t="s">
        <v>139</v>
      </c>
      <c r="S147" s="60" t="s">
        <v>140</v>
      </c>
      <c r="T147" s="60" t="s">
        <v>124</v>
      </c>
      <c r="U147" s="42" t="s">
        <v>328</v>
      </c>
      <c r="V147" s="42" t="str">
        <f t="shared" si="2"/>
        <v/>
      </c>
    </row>
    <row r="148" ht="78.0" customHeight="1">
      <c r="A148" s="60" t="s">
        <v>824</v>
      </c>
      <c r="B148" s="60">
        <v>11.0</v>
      </c>
      <c r="C148" s="61">
        <f>CAMPAGNE!F22</f>
        <v>46295</v>
      </c>
      <c r="D148" s="62">
        <v>0.75</v>
      </c>
      <c r="E148" s="63">
        <f>CAMPAGNE!J22</f>
        <v>46313</v>
      </c>
      <c r="F148" s="60" t="str">
        <f t="shared" si="1"/>
        <v>Domenica</v>
      </c>
      <c r="G148" s="62">
        <v>0.8333333333333334</v>
      </c>
      <c r="H148" s="60" t="s">
        <v>152</v>
      </c>
      <c r="I148" s="60" t="s">
        <v>119</v>
      </c>
      <c r="J148" s="42" t="s">
        <v>320</v>
      </c>
      <c r="K148" s="60" t="s">
        <v>292</v>
      </c>
      <c r="L148" s="42" t="s">
        <v>272</v>
      </c>
      <c r="M148" s="42" t="s">
        <v>313</v>
      </c>
      <c r="N148" s="42" t="s">
        <v>564</v>
      </c>
      <c r="O148" s="42" t="s">
        <v>316</v>
      </c>
      <c r="P148" s="42" t="str">
        <f>TESTI!F22</f>
        <v>La casa nuova sembra un castello, ma amplifica ogni litigio. Barcellona diventa di nuovo una fuga.
Virginia rappresenta carne, libertà e guerra; Ella ordine, promessa e distanza. Tenere entrambe le parti senza pagare un prezzo è impossibile.
Alcune notti riescono a salvarti nello stesso momento in cui rovinano qualcosa che credevi stabile.
Virginia è il nono capitolo di Intrecci Sbagliati. Scoprilo dal link nel profilo.
🌐 https://diaridipelle.it/intrecci-sbagliati.html
📕 Cartaceo: https://www.amazon.it/dp/B0GX27ZJ1L
📱 Kindle: https://www.amazon.it/dp/B0GX2JR3F6
#DiariDiPelle #IntrecciSbagliati #Virginia #Barcellona #NarrativaPsicologica</v>
      </c>
      <c r="Q148" s="64" t="str">
        <f>TESTI!J22</f>
        <v>https://diaridipelle.it/intrecci-sbagliati.html</v>
      </c>
      <c r="R148" s="42" t="s">
        <v>188</v>
      </c>
      <c r="S148" s="60" t="s">
        <v>140</v>
      </c>
      <c r="T148" s="60" t="s">
        <v>124</v>
      </c>
      <c r="U148" s="42" t="s">
        <v>351</v>
      </c>
      <c r="V148" s="42" t="str">
        <f t="shared" si="2"/>
        <v/>
      </c>
    </row>
    <row r="149" ht="78.0" customHeight="1">
      <c r="A149" s="60" t="s">
        <v>825</v>
      </c>
      <c r="B149" s="60">
        <v>11.0</v>
      </c>
      <c r="C149" s="61">
        <f>CAMPAGNE!F23</f>
        <v>46295</v>
      </c>
      <c r="D149" s="62">
        <v>0.75</v>
      </c>
      <c r="E149" s="63">
        <f>CAMPAGNE!H23</f>
        <v>46314</v>
      </c>
      <c r="F149" s="60" t="str">
        <f t="shared" si="1"/>
        <v>Lunedì</v>
      </c>
      <c r="G149" s="62">
        <v>0.8333333333333334</v>
      </c>
      <c r="H149" s="60" t="s">
        <v>128</v>
      </c>
      <c r="I149" s="60" t="s">
        <v>131</v>
      </c>
      <c r="J149" s="42" t="s">
        <v>320</v>
      </c>
      <c r="K149" s="60" t="s">
        <v>308</v>
      </c>
      <c r="L149" s="42" t="s">
        <v>469</v>
      </c>
      <c r="M149" s="42" t="s">
        <v>135</v>
      </c>
      <c r="N149" s="42" t="s">
        <v>576</v>
      </c>
      <c r="O149" s="42" t="s">
        <v>577</v>
      </c>
      <c r="P149" s="42" t="str">
        <f>TESTI!E23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#DiariDiPelle #IntrecciSbagliati #Legame #Relazioni #NarrativaItaliana</v>
      </c>
      <c r="Q149" s="64" t="str">
        <f>TESTI!J23</f>
        <v>https://diaridipelle.it/intrecci-sbagliati.html</v>
      </c>
      <c r="R149" s="42" t="s">
        <v>139</v>
      </c>
      <c r="S149" s="60" t="s">
        <v>140</v>
      </c>
      <c r="T149" s="60" t="s">
        <v>124</v>
      </c>
      <c r="U149" s="42" t="s">
        <v>142</v>
      </c>
      <c r="V149" s="42" t="str">
        <f t="shared" si="2"/>
        <v/>
      </c>
    </row>
    <row r="150" ht="78.0" customHeight="1">
      <c r="A150" s="60" t="s">
        <v>826</v>
      </c>
      <c r="B150" s="60">
        <v>11.0</v>
      </c>
      <c r="C150" s="61">
        <f>CAMPAGNE!F23</f>
        <v>46295</v>
      </c>
      <c r="D150" s="62">
        <v>0.75</v>
      </c>
      <c r="E150" s="63">
        <f>CAMPAGNE!H23</f>
        <v>46314</v>
      </c>
      <c r="F150" s="60" t="str">
        <f t="shared" si="1"/>
        <v>Lunedì</v>
      </c>
      <c r="G150" s="62">
        <v>0.8333333333333334</v>
      </c>
      <c r="H150" s="60" t="s">
        <v>152</v>
      </c>
      <c r="I150" s="60" t="s">
        <v>131</v>
      </c>
      <c r="J150" s="42" t="s">
        <v>320</v>
      </c>
      <c r="K150" s="60" t="s">
        <v>308</v>
      </c>
      <c r="L150" s="42" t="s">
        <v>469</v>
      </c>
      <c r="M150" s="42" t="s">
        <v>172</v>
      </c>
      <c r="N150" s="42" t="s">
        <v>576</v>
      </c>
      <c r="O150" s="42" t="s">
        <v>577</v>
      </c>
      <c r="P150" s="42" t="str">
        <f>TESTI!F23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 https://diaridipelle.it/intrecci-sbagliati.html
📕 Cartaceo: https://www.amazon.it/dp/B0GX27ZJ1L
📱 Kindle: https://www.amazon.it/dp/B0GX2JR3F6
#DiariDiPelle #IntrecciSbagliati #Legame #Relazioni #NarrativaItaliana</v>
      </c>
      <c r="Q150" s="64" t="str">
        <f>TESTI!J23</f>
        <v>https://diaridipelle.it/intrecci-sbagliati.html</v>
      </c>
      <c r="R150" s="42" t="s">
        <v>188</v>
      </c>
      <c r="S150" s="60" t="s">
        <v>140</v>
      </c>
      <c r="T150" s="60" t="s">
        <v>124</v>
      </c>
      <c r="U150" s="42" t="s">
        <v>193</v>
      </c>
      <c r="V150" s="42" t="str">
        <f t="shared" si="2"/>
        <v/>
      </c>
    </row>
    <row r="151" ht="78.0" customHeight="1">
      <c r="A151" s="60" t="s">
        <v>827</v>
      </c>
      <c r="B151" s="60">
        <v>11.0</v>
      </c>
      <c r="C151" s="61">
        <f>CAMPAGNE!G23</f>
        <v>46309</v>
      </c>
      <c r="D151" s="62">
        <v>0.75</v>
      </c>
      <c r="E151" s="63">
        <f>CAMPAGNE!H23</f>
        <v>46314</v>
      </c>
      <c r="F151" s="60" t="str">
        <f t="shared" si="1"/>
        <v>Lunedì</v>
      </c>
      <c r="G151" s="62">
        <v>0.8333333333333334</v>
      </c>
      <c r="H151" s="60" t="s">
        <v>213</v>
      </c>
      <c r="I151" s="60" t="s">
        <v>111</v>
      </c>
      <c r="J151" s="42" t="s">
        <v>320</v>
      </c>
      <c r="K151" s="60" t="s">
        <v>308</v>
      </c>
      <c r="L151" s="42" t="s">
        <v>469</v>
      </c>
      <c r="M151" s="42" t="s">
        <v>223</v>
      </c>
      <c r="N151" s="42" t="s">
        <v>576</v>
      </c>
      <c r="O151" s="42" t="s">
        <v>577</v>
      </c>
      <c r="P151" s="42" t="str">
        <f>TESTI!G23</f>
        <v>Dopo Virginia non torna più leggero. Torna diviso.
«Legame» da Intrecci Sbagliati.
Scopri il libro dal link in bio.
#DiariDiPelle #IntrecciSbagliati #BookTokItalia #LibriTikTok</v>
      </c>
      <c r="Q151" s="64" t="str">
        <f>TESTI!J23</f>
        <v>https://diaridipelle.it/intrecci-sbagliati.html</v>
      </c>
      <c r="R151" s="42" t="s">
        <v>138</v>
      </c>
      <c r="S151" s="60" t="s">
        <v>231</v>
      </c>
      <c r="T151" s="60" t="s">
        <v>124</v>
      </c>
      <c r="U151" s="42" t="s">
        <v>234</v>
      </c>
      <c r="V151" s="42" t="str">
        <f t="shared" si="2"/>
        <v/>
      </c>
    </row>
    <row r="152" ht="78.0" customHeight="1">
      <c r="A152" s="60" t="s">
        <v>828</v>
      </c>
      <c r="B152" s="60">
        <v>11.0</v>
      </c>
      <c r="C152" s="61">
        <f>CAMPAGNE!I23</f>
        <v>46315</v>
      </c>
      <c r="D152" s="62">
        <v>0.4965277777777778</v>
      </c>
      <c r="E152" s="63">
        <f>CAMPAGNE!I23</f>
        <v>46315</v>
      </c>
      <c r="F152" s="60" t="str">
        <f t="shared" si="1"/>
        <v>Martedì</v>
      </c>
      <c r="G152" s="62">
        <v>0.5</v>
      </c>
      <c r="H152" s="60" t="s">
        <v>128</v>
      </c>
      <c r="I152" s="60" t="s">
        <v>170</v>
      </c>
      <c r="J152" s="42" t="s">
        <v>320</v>
      </c>
      <c r="K152" s="60" t="s">
        <v>308</v>
      </c>
      <c r="L152" s="42" t="s">
        <v>469</v>
      </c>
      <c r="M152" s="42" t="s">
        <v>252</v>
      </c>
      <c r="N152" s="42" t="s">
        <v>578</v>
      </c>
      <c r="O152" s="42" t="s">
        <v>829</v>
      </c>
      <c r="P152" s="42" t="str">
        <f>TESTI!N23</f>
        <v>Tocca SCOPRI IL LIBRO e scegli cartaceo o Kindle.</v>
      </c>
      <c r="Q152" s="64" t="str">
        <f>TESTI!H23</f>
        <v>https://diaridipelle.it/intrecci-sbagliati.html?utm_source=instagram&amp;utm_medium=story&amp;utm_campaign=intrecci_sbagliati&amp;utm_content=ch10</v>
      </c>
      <c r="R152" s="42" t="s">
        <v>139</v>
      </c>
      <c r="S152" s="60" t="s">
        <v>79</v>
      </c>
      <c r="T152" s="60" t="s">
        <v>124</v>
      </c>
      <c r="U152" s="42" t="s">
        <v>262</v>
      </c>
      <c r="V152" s="42" t="str">
        <f t="shared" si="2"/>
        <v/>
      </c>
    </row>
    <row r="153" ht="78.0" customHeight="1">
      <c r="A153" s="60" t="s">
        <v>830</v>
      </c>
      <c r="B153" s="60">
        <v>11.0</v>
      </c>
      <c r="C153" s="61">
        <f>CAMPAGNE!F23</f>
        <v>46295</v>
      </c>
      <c r="D153" s="62">
        <v>0.75</v>
      </c>
      <c r="E153" s="63">
        <f>CAMPAGNE!I23</f>
        <v>46315</v>
      </c>
      <c r="F153" s="60" t="str">
        <f t="shared" si="1"/>
        <v>Martedì</v>
      </c>
      <c r="G153" s="62">
        <v>0.5</v>
      </c>
      <c r="H153" s="60" t="s">
        <v>152</v>
      </c>
      <c r="I153" s="60" t="s">
        <v>170</v>
      </c>
      <c r="J153" s="42" t="s">
        <v>320</v>
      </c>
      <c r="K153" s="60" t="s">
        <v>308</v>
      </c>
      <c r="L153" s="42" t="s">
        <v>469</v>
      </c>
      <c r="M153" s="42" t="s">
        <v>285</v>
      </c>
      <c r="N153" s="42" t="s">
        <v>578</v>
      </c>
      <c r="O153" s="42" t="s">
        <v>829</v>
      </c>
      <c r="P153" s="42" t="str">
        <f>TESTI!N23</f>
        <v>Tocca SCOPRI IL LIBRO e scegli cartaceo o Kindle.</v>
      </c>
      <c r="Q153" s="64" t="str">
        <f>TESTI!I23</f>
        <v>https://diaridipelle.it/intrecci-sbagliati.html?utm_source=facebook&amp;utm_medium=story&amp;utm_campaign=intrecci_sbagliati&amp;utm_content=ch10</v>
      </c>
      <c r="R153" s="42" t="s">
        <v>188</v>
      </c>
      <c r="S153" s="60" t="s">
        <v>140</v>
      </c>
      <c r="T153" s="60" t="s">
        <v>124</v>
      </c>
      <c r="U153" s="42" t="s">
        <v>294</v>
      </c>
      <c r="V153" s="42" t="str">
        <f t="shared" si="2"/>
        <v/>
      </c>
    </row>
    <row r="154" ht="78.0" customHeight="1">
      <c r="A154" s="60" t="s">
        <v>831</v>
      </c>
      <c r="B154" s="60">
        <v>11.0</v>
      </c>
      <c r="C154" s="61">
        <f>CAMPAGNE!F23</f>
        <v>46295</v>
      </c>
      <c r="D154" s="62">
        <v>0.75</v>
      </c>
      <c r="E154" s="63">
        <f>CAMPAGNE!J23</f>
        <v>46316</v>
      </c>
      <c r="F154" s="60" t="str">
        <f t="shared" si="1"/>
        <v>Mercoledì</v>
      </c>
      <c r="G154" s="62">
        <v>0.4583333333333333</v>
      </c>
      <c r="H154" s="60" t="s">
        <v>128</v>
      </c>
      <c r="I154" s="60" t="s">
        <v>119</v>
      </c>
      <c r="J154" s="42" t="s">
        <v>320</v>
      </c>
      <c r="K154" s="60" t="s">
        <v>308</v>
      </c>
      <c r="L154" s="42" t="s">
        <v>469</v>
      </c>
      <c r="M154" s="42" t="s">
        <v>313</v>
      </c>
      <c r="N154" s="42" t="s">
        <v>580</v>
      </c>
      <c r="O154" s="42" t="s">
        <v>316</v>
      </c>
      <c r="P154" s="42" t="str">
        <f>TESTI!E23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#DiariDiPelle #IntrecciSbagliati #Legame #Relazioni #NarrativaItaliana</v>
      </c>
      <c r="Q154" s="64" t="str">
        <f>TESTI!J23</f>
        <v>https://diaridipelle.it/intrecci-sbagliati.html</v>
      </c>
      <c r="R154" s="42" t="s">
        <v>139</v>
      </c>
      <c r="S154" s="60" t="s">
        <v>140</v>
      </c>
      <c r="T154" s="60" t="s">
        <v>124</v>
      </c>
      <c r="U154" s="42" t="s">
        <v>328</v>
      </c>
      <c r="V154" s="42" t="str">
        <f t="shared" si="2"/>
        <v/>
      </c>
    </row>
    <row r="155" ht="78.0" customHeight="1">
      <c r="A155" s="60" t="s">
        <v>832</v>
      </c>
      <c r="B155" s="60">
        <v>11.0</v>
      </c>
      <c r="C155" s="61">
        <f>CAMPAGNE!F23</f>
        <v>46295</v>
      </c>
      <c r="D155" s="62">
        <v>0.75</v>
      </c>
      <c r="E155" s="63">
        <f>CAMPAGNE!J23</f>
        <v>46316</v>
      </c>
      <c r="F155" s="60" t="str">
        <f t="shared" si="1"/>
        <v>Mercoledì</v>
      </c>
      <c r="G155" s="62">
        <v>0.4583333333333333</v>
      </c>
      <c r="H155" s="60" t="s">
        <v>152</v>
      </c>
      <c r="I155" s="60" t="s">
        <v>119</v>
      </c>
      <c r="J155" s="42" t="s">
        <v>320</v>
      </c>
      <c r="K155" s="60" t="s">
        <v>308</v>
      </c>
      <c r="L155" s="42" t="s">
        <v>469</v>
      </c>
      <c r="M155" s="42" t="s">
        <v>313</v>
      </c>
      <c r="N155" s="42" t="s">
        <v>580</v>
      </c>
      <c r="O155" s="42" t="s">
        <v>316</v>
      </c>
      <c r="P155" s="42" t="str">
        <f>TESTI!F23</f>
        <v>Dopo Virginia non torna più leggero. Torna diviso.
Ella continua a scavare con la calma delle cose destinate a durare. È qui che una notte smette di essere soltanto un ricordo e diventa legame, responsabilità, eco.
Una notte può bruciare. Un intreccio continua nel modo in cui guardi gli altri e, soprattutto, te stesso.
«Legame» chiude Intrecci Sbagliati e prepara il passaggio successivo. Inizia dal link nel profilo.
🌐 https://diaridipelle.it/intrecci-sbagliati.html
📕 Cartaceo: https://www.amazon.it/dp/B0GX27ZJ1L
📱 Kindle: https://www.amazon.it/dp/B0GX2JR3F6
#DiariDiPelle #IntrecciSbagliati #Legame #Relazioni #NarrativaItaliana</v>
      </c>
      <c r="Q155" s="64" t="str">
        <f>TESTI!J23</f>
        <v>https://diaridipelle.it/intrecci-sbagliati.html</v>
      </c>
      <c r="R155" s="42" t="s">
        <v>188</v>
      </c>
      <c r="S155" s="60" t="s">
        <v>140</v>
      </c>
      <c r="T155" s="60" t="s">
        <v>124</v>
      </c>
      <c r="U155" s="42" t="s">
        <v>351</v>
      </c>
      <c r="V155" s="42" t="str">
        <f t="shared" si="2"/>
        <v/>
      </c>
    </row>
    <row r="156" ht="78.0" customHeight="1">
      <c r="A156" s="60" t="s">
        <v>833</v>
      </c>
      <c r="B156" s="60">
        <v>12.0</v>
      </c>
      <c r="C156" s="61">
        <f>CAMPAGNE!F24</f>
        <v>46295</v>
      </c>
      <c r="D156" s="62">
        <v>0.75</v>
      </c>
      <c r="E156" s="63">
        <f>CAMPAGNE!H24</f>
        <v>46318</v>
      </c>
      <c r="F156" s="60" t="str">
        <f t="shared" si="1"/>
        <v>Venerdì</v>
      </c>
      <c r="G156" s="62">
        <v>0.8333333333333334</v>
      </c>
      <c r="H156" s="60" t="s">
        <v>128</v>
      </c>
      <c r="I156" s="60" t="s">
        <v>131</v>
      </c>
      <c r="J156" s="42" t="s">
        <v>483</v>
      </c>
      <c r="K156" s="60" t="s">
        <v>133</v>
      </c>
      <c r="L156" s="42" t="s">
        <v>484</v>
      </c>
      <c r="M156" s="42" t="s">
        <v>135</v>
      </c>
      <c r="N156" s="42" t="s">
        <v>589</v>
      </c>
      <c r="O156" s="42" t="s">
        <v>590</v>
      </c>
      <c r="P156" s="42" t="str">
        <f>TESTI!E24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Amazon: https://www.amazon.it/dp/B0GZJR8FSJ
#DiariDiPelle #Legami #NarrativaItaliana #NarrativaPsicologica #BookstagramItalia</v>
      </c>
      <c r="Q156" s="64" t="str">
        <f>TESTI!J24</f>
        <v>https://diaridipelle.it/legami.html</v>
      </c>
      <c r="R156" s="42" t="s">
        <v>139</v>
      </c>
      <c r="S156" s="60" t="s">
        <v>140</v>
      </c>
      <c r="T156" s="60" t="s">
        <v>124</v>
      </c>
      <c r="U156" s="42" t="s">
        <v>142</v>
      </c>
      <c r="V156" s="42" t="str">
        <f t="shared" si="2"/>
        <v/>
      </c>
    </row>
    <row r="157" ht="78.0" customHeight="1">
      <c r="A157" s="60" t="s">
        <v>834</v>
      </c>
      <c r="B157" s="60">
        <v>12.0</v>
      </c>
      <c r="C157" s="61">
        <f>CAMPAGNE!F24</f>
        <v>46295</v>
      </c>
      <c r="D157" s="62">
        <v>0.75</v>
      </c>
      <c r="E157" s="63">
        <f>CAMPAGNE!H24</f>
        <v>46318</v>
      </c>
      <c r="F157" s="60" t="str">
        <f t="shared" si="1"/>
        <v>Venerdì</v>
      </c>
      <c r="G157" s="62">
        <v>0.8333333333333334</v>
      </c>
      <c r="H157" s="60" t="s">
        <v>152</v>
      </c>
      <c r="I157" s="60" t="s">
        <v>131</v>
      </c>
      <c r="J157" s="42" t="s">
        <v>483</v>
      </c>
      <c r="K157" s="60" t="s">
        <v>133</v>
      </c>
      <c r="L157" s="42" t="s">
        <v>484</v>
      </c>
      <c r="M157" s="42" t="s">
        <v>172</v>
      </c>
      <c r="N157" s="42" t="s">
        <v>589</v>
      </c>
      <c r="O157" s="42" t="s">
        <v>590</v>
      </c>
      <c r="P157" s="42" t="str">
        <f>TESTI!F24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https://diaridipelle.it/legami.html
🛒 Amazon: https://www.amazon.it/dp/B0GZJR8FSJ
#DiariDiPelle #Legami #NarrativaItaliana #NarrativaPsicologica #BookstagramItalia</v>
      </c>
      <c r="Q157" s="64" t="str">
        <f>TESTI!J24</f>
        <v>https://diaridipelle.it/legami.html</v>
      </c>
      <c r="R157" s="42" t="s">
        <v>188</v>
      </c>
      <c r="S157" s="60" t="s">
        <v>140</v>
      </c>
      <c r="T157" s="60" t="s">
        <v>124</v>
      </c>
      <c r="U157" s="42" t="s">
        <v>193</v>
      </c>
      <c r="V157" s="42" t="str">
        <f t="shared" si="2"/>
        <v/>
      </c>
    </row>
    <row r="158" ht="78.0" customHeight="1">
      <c r="A158" s="60" t="s">
        <v>835</v>
      </c>
      <c r="B158" s="60">
        <v>12.0</v>
      </c>
      <c r="C158" s="61">
        <f>CAMPAGNE!G24</f>
        <v>46316</v>
      </c>
      <c r="D158" s="62">
        <v>0.75</v>
      </c>
      <c r="E158" s="63">
        <f>CAMPAGNE!H24</f>
        <v>46318</v>
      </c>
      <c r="F158" s="60" t="str">
        <f t="shared" si="1"/>
        <v>Venerdì</v>
      </c>
      <c r="G158" s="62">
        <v>0.8333333333333334</v>
      </c>
      <c r="H158" s="60" t="s">
        <v>213</v>
      </c>
      <c r="I158" s="60" t="s">
        <v>111</v>
      </c>
      <c r="J158" s="42" t="s">
        <v>483</v>
      </c>
      <c r="K158" s="60" t="s">
        <v>133</v>
      </c>
      <c r="L158" s="42" t="s">
        <v>484</v>
      </c>
      <c r="M158" s="42" t="s">
        <v>223</v>
      </c>
      <c r="N158" s="42" t="s">
        <v>589</v>
      </c>
      <c r="O158" s="42" t="s">
        <v>590</v>
      </c>
      <c r="P158" s="42" t="str">
        <f>TESTI!G24</f>
        <v>Il desiderio sembrava libertà. Poi ha iniziato a chiedere il conto.
«Legămi» da Legami.
Scopri il libro dal link in bio.
#DiariDiPelle #Legami #BookTokItalia #LibriTikTok</v>
      </c>
      <c r="Q158" s="64" t="str">
        <f>TESTI!J24</f>
        <v>https://diaridipelle.it/legami.html</v>
      </c>
      <c r="R158" s="42" t="s">
        <v>138</v>
      </c>
      <c r="S158" s="60" t="s">
        <v>231</v>
      </c>
      <c r="T158" s="60" t="s">
        <v>124</v>
      </c>
      <c r="U158" s="42" t="s">
        <v>234</v>
      </c>
      <c r="V158" s="42" t="str">
        <f t="shared" si="2"/>
        <v/>
      </c>
    </row>
    <row r="159" ht="78.0" customHeight="1">
      <c r="A159" s="60" t="s">
        <v>836</v>
      </c>
      <c r="B159" s="60">
        <v>12.0</v>
      </c>
      <c r="C159" s="61">
        <f>CAMPAGNE!I24</f>
        <v>46319</v>
      </c>
      <c r="D159" s="62">
        <v>0.4965277777777778</v>
      </c>
      <c r="E159" s="63">
        <f>CAMPAGNE!I24</f>
        <v>46319</v>
      </c>
      <c r="F159" s="60" t="str">
        <f t="shared" si="1"/>
        <v>Sabato</v>
      </c>
      <c r="G159" s="62">
        <v>0.5</v>
      </c>
      <c r="H159" s="60" t="s">
        <v>128</v>
      </c>
      <c r="I159" s="60" t="s">
        <v>170</v>
      </c>
      <c r="J159" s="42" t="s">
        <v>483</v>
      </c>
      <c r="K159" s="60" t="s">
        <v>133</v>
      </c>
      <c r="L159" s="42" t="s">
        <v>484</v>
      </c>
      <c r="M159" s="42" t="s">
        <v>252</v>
      </c>
      <c r="N159" s="42" t="s">
        <v>592</v>
      </c>
      <c r="O159" s="42" t="s">
        <v>837</v>
      </c>
      <c r="P159" s="42" t="str">
        <f>TESTI!N24</f>
        <v>Tocca SCOPRI IL LIBRO e scegli cartaceo o Kindle.</v>
      </c>
      <c r="Q159" s="64" t="str">
        <f>TESTI!H24</f>
        <v>https://diaridipelle.it/legami.html?utm_source=instagram&amp;utm_medium=story&amp;utm_campaign=legami&amp;utm_content=trailer</v>
      </c>
      <c r="R159" s="42" t="s">
        <v>139</v>
      </c>
      <c r="S159" s="60" t="s">
        <v>79</v>
      </c>
      <c r="T159" s="60" t="s">
        <v>124</v>
      </c>
      <c r="U159" s="42" t="s">
        <v>262</v>
      </c>
      <c r="V159" s="42" t="str">
        <f t="shared" si="2"/>
        <v/>
      </c>
    </row>
    <row r="160" ht="78.0" customHeight="1">
      <c r="A160" s="60" t="s">
        <v>838</v>
      </c>
      <c r="B160" s="60">
        <v>12.0</v>
      </c>
      <c r="C160" s="61">
        <f>CAMPAGNE!F24</f>
        <v>46295</v>
      </c>
      <c r="D160" s="62">
        <v>0.75</v>
      </c>
      <c r="E160" s="63">
        <f>CAMPAGNE!I24</f>
        <v>46319</v>
      </c>
      <c r="F160" s="60" t="str">
        <f t="shared" si="1"/>
        <v>Sabato</v>
      </c>
      <c r="G160" s="62">
        <v>0.5</v>
      </c>
      <c r="H160" s="60" t="s">
        <v>152</v>
      </c>
      <c r="I160" s="60" t="s">
        <v>170</v>
      </c>
      <c r="J160" s="42" t="s">
        <v>483</v>
      </c>
      <c r="K160" s="60" t="s">
        <v>133</v>
      </c>
      <c r="L160" s="42" t="s">
        <v>484</v>
      </c>
      <c r="M160" s="42" t="s">
        <v>285</v>
      </c>
      <c r="N160" s="42" t="s">
        <v>592</v>
      </c>
      <c r="O160" s="42" t="s">
        <v>837</v>
      </c>
      <c r="P160" s="42" t="str">
        <f>TESTI!N24</f>
        <v>Tocca SCOPRI IL LIBRO e scegli cartaceo o Kindle.</v>
      </c>
      <c r="Q160" s="64" t="str">
        <f>TESTI!I24</f>
        <v>https://diaridipelle.it/legami.html?utm_source=facebook&amp;utm_medium=story&amp;utm_campaign=legami&amp;utm_content=trailer</v>
      </c>
      <c r="R160" s="42" t="s">
        <v>188</v>
      </c>
      <c r="S160" s="60" t="s">
        <v>140</v>
      </c>
      <c r="T160" s="60" t="s">
        <v>124</v>
      </c>
      <c r="U160" s="42" t="s">
        <v>294</v>
      </c>
      <c r="V160" s="42" t="str">
        <f t="shared" si="2"/>
        <v/>
      </c>
    </row>
    <row r="161" ht="78.0" customHeight="1">
      <c r="A161" s="60" t="s">
        <v>839</v>
      </c>
      <c r="B161" s="60">
        <v>12.0</v>
      </c>
      <c r="C161" s="61">
        <f>CAMPAGNE!F24</f>
        <v>46295</v>
      </c>
      <c r="D161" s="62">
        <v>0.75</v>
      </c>
      <c r="E161" s="63">
        <f>CAMPAGNE!J24</f>
        <v>46320</v>
      </c>
      <c r="F161" s="60" t="str">
        <f t="shared" si="1"/>
        <v>Domenica</v>
      </c>
      <c r="G161" s="62">
        <v>0.8333333333333334</v>
      </c>
      <c r="H161" s="60" t="s">
        <v>128</v>
      </c>
      <c r="I161" s="60" t="s">
        <v>119</v>
      </c>
      <c r="J161" s="42" t="s">
        <v>483</v>
      </c>
      <c r="K161" s="60" t="s">
        <v>133</v>
      </c>
      <c r="L161" s="42" t="s">
        <v>484</v>
      </c>
      <c r="M161" s="42" t="s">
        <v>313</v>
      </c>
      <c r="N161" s="42" t="s">
        <v>595</v>
      </c>
      <c r="O161" s="42" t="s">
        <v>316</v>
      </c>
      <c r="P161" s="42" t="str">
        <f>TESTI!E24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Amazon: https://www.amazon.it/dp/B0GZJR8FSJ
#DiariDiPelle #Legami #NarrativaItaliana #NarrativaPsicologica #BookstagramItalia</v>
      </c>
      <c r="Q161" s="64" t="str">
        <f>TESTI!J24</f>
        <v>https://diaridipelle.it/legami.html</v>
      </c>
      <c r="R161" s="42" t="s">
        <v>139</v>
      </c>
      <c r="S161" s="60" t="s">
        <v>140</v>
      </c>
      <c r="T161" s="60" t="s">
        <v>124</v>
      </c>
      <c r="U161" s="42" t="s">
        <v>328</v>
      </c>
      <c r="V161" s="42" t="str">
        <f t="shared" si="2"/>
        <v/>
      </c>
    </row>
    <row r="162" ht="78.0" customHeight="1">
      <c r="A162" s="60" t="s">
        <v>840</v>
      </c>
      <c r="B162" s="60">
        <v>12.0</v>
      </c>
      <c r="C162" s="61">
        <f>CAMPAGNE!F24</f>
        <v>46295</v>
      </c>
      <c r="D162" s="62">
        <v>0.75</v>
      </c>
      <c r="E162" s="63">
        <f>CAMPAGNE!J24</f>
        <v>46320</v>
      </c>
      <c r="F162" s="60" t="str">
        <f t="shared" si="1"/>
        <v>Domenica</v>
      </c>
      <c r="G162" s="62">
        <v>0.8333333333333334</v>
      </c>
      <c r="H162" s="60" t="s">
        <v>152</v>
      </c>
      <c r="I162" s="60" t="s">
        <v>119</v>
      </c>
      <c r="J162" s="42" t="s">
        <v>483</v>
      </c>
      <c r="K162" s="60" t="s">
        <v>133</v>
      </c>
      <c r="L162" s="42" t="s">
        <v>484</v>
      </c>
      <c r="M162" s="42" t="s">
        <v>313</v>
      </c>
      <c r="N162" s="42" t="s">
        <v>595</v>
      </c>
      <c r="O162" s="42" t="s">
        <v>316</v>
      </c>
      <c r="P162" s="42" t="str">
        <f>TESTI!F24</f>
        <v>Il desiderio sembrava libertà. Poi ha iniziato a chiedere il conto.
Legămi è il terzo volume di Diari di Pelle e il più oscuro della collana: dieci capitoli costruiti attorno a oggetti che diventano simboli di controllo, dipendenza, colpa, ritorno e perdita.
Il collare. La benda. Il guinzaglio. Il nodo. Il morso. Le redini. La catena. La chiave. La safe word. La sospensione.
Scopri il libro dal link nel profilo.
🌐 https://diaridipelle.it/legami.html
🛒 Amazon: https://www.amazon.it/dp/B0GZJR8FSJ
#DiariDiPelle #Legami #NarrativaItaliana #NarrativaPsicologica #BookstagramItalia</v>
      </c>
      <c r="Q162" s="64" t="str">
        <f>TESTI!J24</f>
        <v>https://diaridipelle.it/legami.html</v>
      </c>
      <c r="R162" s="42" t="s">
        <v>188</v>
      </c>
      <c r="S162" s="60" t="s">
        <v>140</v>
      </c>
      <c r="T162" s="60" t="s">
        <v>124</v>
      </c>
      <c r="U162" s="42" t="s">
        <v>351</v>
      </c>
      <c r="V162" s="42" t="str">
        <f t="shared" si="2"/>
        <v/>
      </c>
    </row>
    <row r="163" ht="78.0" customHeight="1">
      <c r="A163" s="60" t="s">
        <v>841</v>
      </c>
      <c r="B163" s="60">
        <v>12.0</v>
      </c>
      <c r="C163" s="61">
        <f>CAMPAGNE!F25</f>
        <v>46295</v>
      </c>
      <c r="D163" s="62">
        <v>0.75</v>
      </c>
      <c r="E163" s="63">
        <f>CAMPAGNE!H25</f>
        <v>46321</v>
      </c>
      <c r="F163" s="60" t="str">
        <f t="shared" si="1"/>
        <v>Lunedì</v>
      </c>
      <c r="G163" s="62">
        <v>0.8333333333333334</v>
      </c>
      <c r="H163" s="60" t="s">
        <v>128</v>
      </c>
      <c r="I163" s="60" t="s">
        <v>131</v>
      </c>
      <c r="J163" s="42" t="s">
        <v>483</v>
      </c>
      <c r="K163" s="60" t="s">
        <v>189</v>
      </c>
      <c r="L163" s="42" t="s">
        <v>505</v>
      </c>
      <c r="M163" s="42" t="s">
        <v>135</v>
      </c>
      <c r="N163" s="42" t="s">
        <v>606</v>
      </c>
      <c r="O163" s="42" t="s">
        <v>607</v>
      </c>
      <c r="P163" s="42" t="str">
        <f>TESTI!E25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Amazon: https://www.amazon.it/dp/B0GZJR8FSJ
#DiariDiPelle #Legami #IlCollare #CinqueTerre #NarrativaContemporanea</v>
      </c>
      <c r="Q163" s="64" t="str">
        <f>TESTI!J25</f>
        <v>https://diaridipelle.it/legami.html</v>
      </c>
      <c r="R163" s="42" t="s">
        <v>139</v>
      </c>
      <c r="S163" s="60" t="s">
        <v>140</v>
      </c>
      <c r="T163" s="60" t="s">
        <v>124</v>
      </c>
      <c r="U163" s="42" t="s">
        <v>142</v>
      </c>
      <c r="V163" s="42" t="str">
        <f t="shared" si="2"/>
        <v/>
      </c>
    </row>
    <row r="164" ht="78.0" customHeight="1">
      <c r="A164" s="60" t="s">
        <v>842</v>
      </c>
      <c r="B164" s="60">
        <v>12.0</v>
      </c>
      <c r="C164" s="61">
        <f>CAMPAGNE!F25</f>
        <v>46295</v>
      </c>
      <c r="D164" s="62">
        <v>0.75</v>
      </c>
      <c r="E164" s="63">
        <f>CAMPAGNE!H25</f>
        <v>46321</v>
      </c>
      <c r="F164" s="60" t="str">
        <f t="shared" si="1"/>
        <v>Lunedì</v>
      </c>
      <c r="G164" s="62">
        <v>0.8333333333333334</v>
      </c>
      <c r="H164" s="60" t="s">
        <v>152</v>
      </c>
      <c r="I164" s="60" t="s">
        <v>131</v>
      </c>
      <c r="J164" s="42" t="s">
        <v>483</v>
      </c>
      <c r="K164" s="60" t="s">
        <v>189</v>
      </c>
      <c r="L164" s="42" t="s">
        <v>505</v>
      </c>
      <c r="M164" s="42" t="s">
        <v>172</v>
      </c>
      <c r="N164" s="42" t="s">
        <v>606</v>
      </c>
      <c r="O164" s="42" t="s">
        <v>607</v>
      </c>
      <c r="P164" s="42" t="str">
        <f>TESTI!F25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https://diaridipelle.it/legami.html
🛒 Amazon: https://www.amazon.it/dp/B0GZJR8FSJ
#DiariDiPelle #Legami #IlCollare #CinqueTerre #NarrativaContemporanea</v>
      </c>
      <c r="Q164" s="64" t="str">
        <f>TESTI!J25</f>
        <v>https://diaridipelle.it/legami.html</v>
      </c>
      <c r="R164" s="42" t="s">
        <v>188</v>
      </c>
      <c r="S164" s="60" t="s">
        <v>140</v>
      </c>
      <c r="T164" s="60" t="s">
        <v>124</v>
      </c>
      <c r="U164" s="42" t="s">
        <v>193</v>
      </c>
      <c r="V164" s="42" t="str">
        <f t="shared" si="2"/>
        <v/>
      </c>
    </row>
    <row r="165" ht="78.0" customHeight="1">
      <c r="A165" s="60" t="s">
        <v>843</v>
      </c>
      <c r="B165" s="60">
        <v>12.0</v>
      </c>
      <c r="C165" s="61">
        <f>CAMPAGNE!G25</f>
        <v>46316</v>
      </c>
      <c r="D165" s="62">
        <v>0.75</v>
      </c>
      <c r="E165" s="63">
        <f>CAMPAGNE!H25</f>
        <v>46321</v>
      </c>
      <c r="F165" s="60" t="str">
        <f t="shared" si="1"/>
        <v>Lunedì</v>
      </c>
      <c r="G165" s="62">
        <v>0.8333333333333334</v>
      </c>
      <c r="H165" s="60" t="s">
        <v>213</v>
      </c>
      <c r="I165" s="60" t="s">
        <v>111</v>
      </c>
      <c r="J165" s="42" t="s">
        <v>483</v>
      </c>
      <c r="K165" s="60" t="s">
        <v>189</v>
      </c>
      <c r="L165" s="42" t="s">
        <v>505</v>
      </c>
      <c r="M165" s="42" t="s">
        <v>223</v>
      </c>
      <c r="N165" s="42" t="s">
        <v>606</v>
      </c>
      <c r="O165" s="42" t="s">
        <v>607</v>
      </c>
      <c r="P165" s="42" t="str">
        <f>TESTI!G25</f>
        <v>Alle Cinque Terre, il desiderio rallenta al ritmo di una sola parola: langsam.
«Il Collare» da Legami.
Scopri il libro dal link in bio.
#DiariDiPelle #Legami #BookTokItalia #LibriTikTok</v>
      </c>
      <c r="Q165" s="64" t="str">
        <f>TESTI!J25</f>
        <v>https://diaridipelle.it/legami.html</v>
      </c>
      <c r="R165" s="42" t="s">
        <v>138</v>
      </c>
      <c r="S165" s="60" t="s">
        <v>231</v>
      </c>
      <c r="T165" s="60" t="s">
        <v>124</v>
      </c>
      <c r="U165" s="42" t="s">
        <v>234</v>
      </c>
      <c r="V165" s="42" t="str">
        <f t="shared" si="2"/>
        <v/>
      </c>
    </row>
    <row r="166" ht="78.0" customHeight="1">
      <c r="A166" s="60" t="s">
        <v>844</v>
      </c>
      <c r="B166" s="60">
        <v>12.0</v>
      </c>
      <c r="C166" s="61">
        <f>CAMPAGNE!I25</f>
        <v>46322</v>
      </c>
      <c r="D166" s="62">
        <v>0.4965277777777778</v>
      </c>
      <c r="E166" s="63">
        <f>CAMPAGNE!I25</f>
        <v>46322</v>
      </c>
      <c r="F166" s="60" t="str">
        <f t="shared" si="1"/>
        <v>Martedì</v>
      </c>
      <c r="G166" s="62">
        <v>0.5</v>
      </c>
      <c r="H166" s="60" t="s">
        <v>128</v>
      </c>
      <c r="I166" s="60" t="s">
        <v>170</v>
      </c>
      <c r="J166" s="42" t="s">
        <v>483</v>
      </c>
      <c r="K166" s="60" t="s">
        <v>189</v>
      </c>
      <c r="L166" s="42" t="s">
        <v>505</v>
      </c>
      <c r="M166" s="42" t="s">
        <v>252</v>
      </c>
      <c r="N166" s="42" t="s">
        <v>609</v>
      </c>
      <c r="O166" s="42" t="s">
        <v>845</v>
      </c>
      <c r="P166" s="42" t="str">
        <f>TESTI!N25</f>
        <v>Tocca SCOPRI IL LIBRO e scegli cartaceo o Kindle.</v>
      </c>
      <c r="Q166" s="64" t="str">
        <f>TESTI!H25</f>
        <v>https://diaridipelle.it/legami.html?utm_source=instagram&amp;utm_medium=story&amp;utm_campaign=legami&amp;utm_content=ch01</v>
      </c>
      <c r="R166" s="42" t="s">
        <v>139</v>
      </c>
      <c r="S166" s="60" t="s">
        <v>79</v>
      </c>
      <c r="T166" s="60" t="s">
        <v>124</v>
      </c>
      <c r="U166" s="42" t="s">
        <v>262</v>
      </c>
      <c r="V166" s="42" t="str">
        <f t="shared" si="2"/>
        <v/>
      </c>
    </row>
    <row r="167" ht="78.0" customHeight="1">
      <c r="A167" s="60" t="s">
        <v>846</v>
      </c>
      <c r="B167" s="60">
        <v>12.0</v>
      </c>
      <c r="C167" s="61">
        <f>CAMPAGNE!F25</f>
        <v>46295</v>
      </c>
      <c r="D167" s="62">
        <v>0.75</v>
      </c>
      <c r="E167" s="63">
        <f>CAMPAGNE!I25</f>
        <v>46322</v>
      </c>
      <c r="F167" s="60" t="str">
        <f t="shared" si="1"/>
        <v>Martedì</v>
      </c>
      <c r="G167" s="62">
        <v>0.5</v>
      </c>
      <c r="H167" s="60" t="s">
        <v>152</v>
      </c>
      <c r="I167" s="60" t="s">
        <v>170</v>
      </c>
      <c r="J167" s="42" t="s">
        <v>483</v>
      </c>
      <c r="K167" s="60" t="s">
        <v>189</v>
      </c>
      <c r="L167" s="42" t="s">
        <v>505</v>
      </c>
      <c r="M167" s="42" t="s">
        <v>285</v>
      </c>
      <c r="N167" s="42" t="s">
        <v>609</v>
      </c>
      <c r="O167" s="42" t="s">
        <v>845</v>
      </c>
      <c r="P167" s="42" t="str">
        <f>TESTI!N25</f>
        <v>Tocca SCOPRI IL LIBRO e scegli cartaceo o Kindle.</v>
      </c>
      <c r="Q167" s="64" t="str">
        <f>TESTI!I25</f>
        <v>https://diaridipelle.it/legami.html?utm_source=facebook&amp;utm_medium=story&amp;utm_campaign=legami&amp;utm_content=ch01</v>
      </c>
      <c r="R167" s="42" t="s">
        <v>188</v>
      </c>
      <c r="S167" s="60" t="s">
        <v>140</v>
      </c>
      <c r="T167" s="60" t="s">
        <v>124</v>
      </c>
      <c r="U167" s="42" t="s">
        <v>294</v>
      </c>
      <c r="V167" s="42" t="str">
        <f t="shared" si="2"/>
        <v/>
      </c>
    </row>
    <row r="168" ht="78.0" customHeight="1">
      <c r="A168" s="60" t="s">
        <v>847</v>
      </c>
      <c r="B168" s="60">
        <v>12.0</v>
      </c>
      <c r="C168" s="61">
        <f>CAMPAGNE!F25</f>
        <v>46295</v>
      </c>
      <c r="D168" s="62">
        <v>0.75</v>
      </c>
      <c r="E168" s="63">
        <f>CAMPAGNE!J25</f>
        <v>46323</v>
      </c>
      <c r="F168" s="60" t="str">
        <f t="shared" si="1"/>
        <v>Mercoledì</v>
      </c>
      <c r="G168" s="62">
        <v>0.4583333333333333</v>
      </c>
      <c r="H168" s="60" t="s">
        <v>128</v>
      </c>
      <c r="I168" s="60" t="s">
        <v>119</v>
      </c>
      <c r="J168" s="42" t="s">
        <v>483</v>
      </c>
      <c r="K168" s="60" t="s">
        <v>189</v>
      </c>
      <c r="L168" s="42" t="s">
        <v>505</v>
      </c>
      <c r="M168" s="42" t="s">
        <v>313</v>
      </c>
      <c r="N168" s="42" t="s">
        <v>610</v>
      </c>
      <c r="O168" s="42" t="s">
        <v>316</v>
      </c>
      <c r="P168" s="42" t="str">
        <f>TESTI!E25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Amazon: https://www.amazon.it/dp/B0GZJR8FSJ
#DiariDiPelle #Legami #IlCollare #CinqueTerre #NarrativaContemporanea</v>
      </c>
      <c r="Q168" s="64" t="str">
        <f>TESTI!J25</f>
        <v>https://diaridipelle.it/legami.html</v>
      </c>
      <c r="R168" s="42" t="s">
        <v>139</v>
      </c>
      <c r="S168" s="60" t="s">
        <v>140</v>
      </c>
      <c r="T168" s="60" t="s">
        <v>124</v>
      </c>
      <c r="U168" s="42" t="s">
        <v>328</v>
      </c>
      <c r="V168" s="42" t="str">
        <f t="shared" si="2"/>
        <v/>
      </c>
    </row>
    <row r="169" ht="78.0" customHeight="1">
      <c r="A169" s="60" t="s">
        <v>848</v>
      </c>
      <c r="B169" s="60">
        <v>12.0</v>
      </c>
      <c r="C169" s="61">
        <f>CAMPAGNE!F25</f>
        <v>46295</v>
      </c>
      <c r="D169" s="62">
        <v>0.75</v>
      </c>
      <c r="E169" s="63">
        <f>CAMPAGNE!J25</f>
        <v>46323</v>
      </c>
      <c r="F169" s="60" t="str">
        <f t="shared" si="1"/>
        <v>Mercoledì</v>
      </c>
      <c r="G169" s="62">
        <v>0.4583333333333333</v>
      </c>
      <c r="H169" s="60" t="s">
        <v>152</v>
      </c>
      <c r="I169" s="60" t="s">
        <v>119</v>
      </c>
      <c r="J169" s="42" t="s">
        <v>483</v>
      </c>
      <c r="K169" s="60" t="s">
        <v>189</v>
      </c>
      <c r="L169" s="42" t="s">
        <v>505</v>
      </c>
      <c r="M169" s="42" t="s">
        <v>313</v>
      </c>
      <c r="N169" s="42" t="s">
        <v>610</v>
      </c>
      <c r="O169" s="42" t="s">
        <v>316</v>
      </c>
      <c r="P169" s="42" t="str">
        <f>TESTI!F25</f>
        <v>Alle Cinque Terre, il desiderio rallenta al ritmo di una sola parola: langsam.
Ella sembra affidarsi, ma trasforma la resa in una forma sottile di potere. Lui crede di guidarla e scopre che il vero collare non è fatto di pelle o metallo: è il bisogno di sentirsi necessario, scelto, abbastanza.
Il primo capitolo di Legămi racconta il punto in cui il controllo cambia direzione senza fare rumore.
Continua dal link nel profilo.
🌐 https://diaridipelle.it/legami.html
🛒 Amazon: https://www.amazon.it/dp/B0GZJR8FSJ
#DiariDiPelle #Legami #IlCollare #CinqueTerre #NarrativaContemporanea</v>
      </c>
      <c r="Q169" s="64" t="str">
        <f>TESTI!J25</f>
        <v>https://diaridipelle.it/legami.html</v>
      </c>
      <c r="R169" s="42" t="s">
        <v>188</v>
      </c>
      <c r="S169" s="60" t="s">
        <v>140</v>
      </c>
      <c r="T169" s="60" t="s">
        <v>124</v>
      </c>
      <c r="U169" s="42" t="s">
        <v>351</v>
      </c>
      <c r="V169" s="42" t="str">
        <f t="shared" si="2"/>
        <v/>
      </c>
    </row>
    <row r="170" ht="78.0" customHeight="1">
      <c r="A170" s="60" t="s">
        <v>849</v>
      </c>
      <c r="B170" s="60">
        <v>13.0</v>
      </c>
      <c r="C170" s="61">
        <f>CAMPAGNE!F26</f>
        <v>46323</v>
      </c>
      <c r="D170" s="62">
        <v>0.75</v>
      </c>
      <c r="E170" s="63">
        <f>CAMPAGNE!H26</f>
        <v>46325</v>
      </c>
      <c r="F170" s="60" t="str">
        <f t="shared" si="1"/>
        <v>Venerdì</v>
      </c>
      <c r="G170" s="62">
        <v>0.8333333333333334</v>
      </c>
      <c r="H170" s="60" t="s">
        <v>128</v>
      </c>
      <c r="I170" s="60" t="s">
        <v>131</v>
      </c>
      <c r="J170" s="42" t="s">
        <v>483</v>
      </c>
      <c r="K170" s="60" t="s">
        <v>201</v>
      </c>
      <c r="L170" s="42" t="s">
        <v>519</v>
      </c>
      <c r="M170" s="42" t="s">
        <v>135</v>
      </c>
      <c r="N170" s="42" t="s">
        <v>617</v>
      </c>
      <c r="O170" s="42" t="s">
        <v>618</v>
      </c>
      <c r="P170" s="42" t="str">
        <f>TESTI!E26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Amazon: https://www.amazon.it/dp/B0GZJR8FSJ
#DiariDiPelle #Legami #LaBenda #Trier #NarrativaPsicologica</v>
      </c>
      <c r="Q170" s="64" t="str">
        <f>TESTI!J26</f>
        <v>https://diaridipelle.it/legami.html</v>
      </c>
      <c r="R170" s="42" t="s">
        <v>139</v>
      </c>
      <c r="S170" s="60" t="s">
        <v>140</v>
      </c>
      <c r="T170" s="60" t="s">
        <v>124</v>
      </c>
      <c r="U170" s="42" t="s">
        <v>142</v>
      </c>
      <c r="V170" s="42" t="str">
        <f t="shared" si="2"/>
        <v/>
      </c>
    </row>
    <row r="171" ht="78.0" customHeight="1">
      <c r="A171" s="60" t="s">
        <v>850</v>
      </c>
      <c r="B171" s="60">
        <v>13.0</v>
      </c>
      <c r="C171" s="61">
        <f>CAMPAGNE!F26</f>
        <v>46323</v>
      </c>
      <c r="D171" s="62">
        <v>0.75</v>
      </c>
      <c r="E171" s="63">
        <f>CAMPAGNE!H26</f>
        <v>46325</v>
      </c>
      <c r="F171" s="60" t="str">
        <f t="shared" si="1"/>
        <v>Venerdì</v>
      </c>
      <c r="G171" s="62">
        <v>0.8333333333333334</v>
      </c>
      <c r="H171" s="60" t="s">
        <v>152</v>
      </c>
      <c r="I171" s="60" t="s">
        <v>131</v>
      </c>
      <c r="J171" s="42" t="s">
        <v>483</v>
      </c>
      <c r="K171" s="60" t="s">
        <v>201</v>
      </c>
      <c r="L171" s="42" t="s">
        <v>519</v>
      </c>
      <c r="M171" s="42" t="s">
        <v>172</v>
      </c>
      <c r="N171" s="42" t="s">
        <v>617</v>
      </c>
      <c r="O171" s="42" t="s">
        <v>618</v>
      </c>
      <c r="P171" s="42" t="str">
        <f>TESTI!F26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https://diaridipelle.it/legami.html
🛒 Amazon: https://www.amazon.it/dp/B0GZJR8FSJ
#DiariDiPelle #Legami #LaBenda #Trier #NarrativaPsicologica</v>
      </c>
      <c r="Q171" s="64" t="str">
        <f>TESTI!J26</f>
        <v>https://diaridipelle.it/legami.html</v>
      </c>
      <c r="R171" s="42" t="s">
        <v>188</v>
      </c>
      <c r="S171" s="60" t="s">
        <v>140</v>
      </c>
      <c r="T171" s="60" t="s">
        <v>124</v>
      </c>
      <c r="U171" s="42" t="s">
        <v>193</v>
      </c>
      <c r="V171" s="42" t="str">
        <f t="shared" si="2"/>
        <v/>
      </c>
    </row>
    <row r="172" ht="78.0" customHeight="1">
      <c r="A172" s="60" t="s">
        <v>851</v>
      </c>
      <c r="B172" s="60">
        <v>13.0</v>
      </c>
      <c r="C172" s="61">
        <f>CAMPAGNE!G26</f>
        <v>46323</v>
      </c>
      <c r="D172" s="62">
        <v>0.75</v>
      </c>
      <c r="E172" s="63">
        <f>CAMPAGNE!H26</f>
        <v>46325</v>
      </c>
      <c r="F172" s="60" t="str">
        <f t="shared" si="1"/>
        <v>Venerdì</v>
      </c>
      <c r="G172" s="62">
        <v>0.8333333333333334</v>
      </c>
      <c r="H172" s="60" t="s">
        <v>213</v>
      </c>
      <c r="I172" s="60" t="s">
        <v>111</v>
      </c>
      <c r="J172" s="42" t="s">
        <v>483</v>
      </c>
      <c r="K172" s="60" t="s">
        <v>201</v>
      </c>
      <c r="L172" s="42" t="s">
        <v>519</v>
      </c>
      <c r="M172" s="42" t="s">
        <v>223</v>
      </c>
      <c r="N172" s="42" t="s">
        <v>617</v>
      </c>
      <c r="O172" s="42" t="s">
        <v>618</v>
      </c>
      <c r="P172" s="42" t="str">
        <f>TESTI!G26</f>
        <v>A Trier, Ella costruisce un compleanno perfetto: musica, eleganza, desiderio e una fiducia capace di sembrare assoluta.
«La Benda» da Legami.
Scopri il libro dal link in bio.
#DiariDiPelle #Legami #BookTokItalia #LibriTikTok</v>
      </c>
      <c r="Q172" s="64" t="str">
        <f>TESTI!J26</f>
        <v>https://diaridipelle.it/legami.html</v>
      </c>
      <c r="R172" s="42" t="s">
        <v>138</v>
      </c>
      <c r="S172" s="60" t="s">
        <v>231</v>
      </c>
      <c r="T172" s="60" t="s">
        <v>124</v>
      </c>
      <c r="U172" s="42" t="s">
        <v>234</v>
      </c>
      <c r="V172" s="42" t="str">
        <f t="shared" si="2"/>
        <v/>
      </c>
    </row>
    <row r="173" ht="78.0" customHeight="1">
      <c r="A173" s="60" t="s">
        <v>852</v>
      </c>
      <c r="B173" s="60">
        <v>13.0</v>
      </c>
      <c r="C173" s="61">
        <f>CAMPAGNE!I26</f>
        <v>46326</v>
      </c>
      <c r="D173" s="62">
        <v>0.4965277777777778</v>
      </c>
      <c r="E173" s="63">
        <f>CAMPAGNE!I26</f>
        <v>46326</v>
      </c>
      <c r="F173" s="60" t="str">
        <f t="shared" si="1"/>
        <v>Sabato</v>
      </c>
      <c r="G173" s="62">
        <v>0.5</v>
      </c>
      <c r="H173" s="60" t="s">
        <v>128</v>
      </c>
      <c r="I173" s="60" t="s">
        <v>170</v>
      </c>
      <c r="J173" s="42" t="s">
        <v>483</v>
      </c>
      <c r="K173" s="60" t="s">
        <v>201</v>
      </c>
      <c r="L173" s="42" t="s">
        <v>519</v>
      </c>
      <c r="M173" s="42" t="s">
        <v>252</v>
      </c>
      <c r="N173" s="42" t="s">
        <v>619</v>
      </c>
      <c r="O173" s="42" t="s">
        <v>853</v>
      </c>
      <c r="P173" s="42" t="str">
        <f>TESTI!N26</f>
        <v>Tocca SCOPRI IL LIBRO e scegli cartaceo o Kindle.</v>
      </c>
      <c r="Q173" s="64" t="str">
        <f>TESTI!H26</f>
        <v>https://diaridipelle.it/legami.html?utm_source=instagram&amp;utm_medium=story&amp;utm_campaign=legami&amp;utm_content=ch02</v>
      </c>
      <c r="R173" s="42" t="s">
        <v>139</v>
      </c>
      <c r="S173" s="60" t="s">
        <v>79</v>
      </c>
      <c r="T173" s="60" t="s">
        <v>124</v>
      </c>
      <c r="U173" s="42" t="s">
        <v>262</v>
      </c>
      <c r="V173" s="42" t="str">
        <f t="shared" si="2"/>
        <v/>
      </c>
    </row>
    <row r="174" ht="78.0" customHeight="1">
      <c r="A174" s="60" t="s">
        <v>854</v>
      </c>
      <c r="B174" s="60">
        <v>13.0</v>
      </c>
      <c r="C174" s="61">
        <f>CAMPAGNE!F26</f>
        <v>46323</v>
      </c>
      <c r="D174" s="62">
        <v>0.75</v>
      </c>
      <c r="E174" s="63">
        <f>CAMPAGNE!I26</f>
        <v>46326</v>
      </c>
      <c r="F174" s="60" t="str">
        <f t="shared" si="1"/>
        <v>Sabato</v>
      </c>
      <c r="G174" s="62">
        <v>0.5</v>
      </c>
      <c r="H174" s="60" t="s">
        <v>152</v>
      </c>
      <c r="I174" s="60" t="s">
        <v>170</v>
      </c>
      <c r="J174" s="42" t="s">
        <v>483</v>
      </c>
      <c r="K174" s="60" t="s">
        <v>201</v>
      </c>
      <c r="L174" s="42" t="s">
        <v>519</v>
      </c>
      <c r="M174" s="42" t="s">
        <v>285</v>
      </c>
      <c r="N174" s="42" t="s">
        <v>619</v>
      </c>
      <c r="O174" s="42" t="s">
        <v>853</v>
      </c>
      <c r="P174" s="42" t="str">
        <f>TESTI!N26</f>
        <v>Tocca SCOPRI IL LIBRO e scegli cartaceo o Kindle.</v>
      </c>
      <c r="Q174" s="64" t="str">
        <f>TESTI!I26</f>
        <v>https://diaridipelle.it/legami.html?utm_source=facebook&amp;utm_medium=story&amp;utm_campaign=legami&amp;utm_content=ch02</v>
      </c>
      <c r="R174" s="42" t="s">
        <v>188</v>
      </c>
      <c r="S174" s="60" t="s">
        <v>140</v>
      </c>
      <c r="T174" s="60" t="s">
        <v>124</v>
      </c>
      <c r="U174" s="42" t="s">
        <v>294</v>
      </c>
      <c r="V174" s="42" t="str">
        <f t="shared" si="2"/>
        <v/>
      </c>
    </row>
    <row r="175" ht="78.0" customHeight="1">
      <c r="A175" s="60" t="s">
        <v>855</v>
      </c>
      <c r="B175" s="60">
        <v>13.0</v>
      </c>
      <c r="C175" s="61">
        <f>CAMPAGNE!F26</f>
        <v>46323</v>
      </c>
      <c r="D175" s="62">
        <v>0.75</v>
      </c>
      <c r="E175" s="63">
        <f>CAMPAGNE!J26</f>
        <v>46327</v>
      </c>
      <c r="F175" s="60" t="str">
        <f t="shared" si="1"/>
        <v>Domenica</v>
      </c>
      <c r="G175" s="62">
        <v>0.8333333333333334</v>
      </c>
      <c r="H175" s="60" t="s">
        <v>128</v>
      </c>
      <c r="I175" s="60" t="s">
        <v>119</v>
      </c>
      <c r="J175" s="42" t="s">
        <v>483</v>
      </c>
      <c r="K175" s="60" t="s">
        <v>201</v>
      </c>
      <c r="L175" s="42" t="s">
        <v>519</v>
      </c>
      <c r="M175" s="42" t="s">
        <v>313</v>
      </c>
      <c r="N175" s="42" t="s">
        <v>621</v>
      </c>
      <c r="O175" s="42" t="s">
        <v>316</v>
      </c>
      <c r="P175" s="42" t="str">
        <f>TESTI!E26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Amazon: https://www.amazon.it/dp/B0GZJR8FSJ
#DiariDiPelle #Legami #LaBenda #Trier #NarrativaPsicologica</v>
      </c>
      <c r="Q175" s="64" t="str">
        <f>TESTI!J26</f>
        <v>https://diaridipelle.it/legami.html</v>
      </c>
      <c r="R175" s="42" t="s">
        <v>139</v>
      </c>
      <c r="S175" s="60" t="s">
        <v>140</v>
      </c>
      <c r="T175" s="60" t="s">
        <v>124</v>
      </c>
      <c r="U175" s="42" t="s">
        <v>328</v>
      </c>
      <c r="V175" s="42" t="str">
        <f t="shared" si="2"/>
        <v/>
      </c>
    </row>
    <row r="176" ht="78.0" customHeight="1">
      <c r="A176" s="60" t="s">
        <v>856</v>
      </c>
      <c r="B176" s="60">
        <v>13.0</v>
      </c>
      <c r="C176" s="61">
        <f>CAMPAGNE!F26</f>
        <v>46323</v>
      </c>
      <c r="D176" s="62">
        <v>0.75</v>
      </c>
      <c r="E176" s="63">
        <f>CAMPAGNE!J26</f>
        <v>46327</v>
      </c>
      <c r="F176" s="60" t="str">
        <f t="shared" si="1"/>
        <v>Domenica</v>
      </c>
      <c r="G176" s="62">
        <v>0.8333333333333334</v>
      </c>
      <c r="H176" s="60" t="s">
        <v>152</v>
      </c>
      <c r="I176" s="60" t="s">
        <v>119</v>
      </c>
      <c r="J176" s="42" t="s">
        <v>483</v>
      </c>
      <c r="K176" s="60" t="s">
        <v>201</v>
      </c>
      <c r="L176" s="42" t="s">
        <v>519</v>
      </c>
      <c r="M176" s="42" t="s">
        <v>313</v>
      </c>
      <c r="N176" s="42" t="s">
        <v>621</v>
      </c>
      <c r="O176" s="42" t="s">
        <v>316</v>
      </c>
      <c r="P176" s="42" t="str">
        <f>TESTI!F26</f>
        <v>A Trier, Ella costruisce un compleanno perfetto: musica, eleganza, desiderio e una fiducia capace di sembrare assoluta.
La benda appartiene al gioco, ma la cecità è altrove. Accecato dalla bellezza di ciò che vive, lui sceglie di non vedere le piccole distanze e le crepe che stanno già prendendo forma.
La Benda è il secondo capitolo di Legămi: una notte perfetta osservata dalla luce sbagliata.
Scopri il libro dal link nel profilo.
🌐 https://diaridipelle.it/legami.html
🛒 Amazon: https://www.amazon.it/dp/B0GZJR8FSJ
#DiariDiPelle #Legami #LaBenda #Trier #NarrativaPsicologica</v>
      </c>
      <c r="Q176" s="64" t="str">
        <f>TESTI!J26</f>
        <v>https://diaridipelle.it/legami.html</v>
      </c>
      <c r="R176" s="42" t="s">
        <v>188</v>
      </c>
      <c r="S176" s="60" t="s">
        <v>140</v>
      </c>
      <c r="T176" s="60" t="s">
        <v>124</v>
      </c>
      <c r="U176" s="42" t="s">
        <v>351</v>
      </c>
      <c r="V176" s="42" t="str">
        <f t="shared" si="2"/>
        <v/>
      </c>
    </row>
    <row r="177" ht="78.0" customHeight="1">
      <c r="A177" s="60" t="s">
        <v>857</v>
      </c>
      <c r="B177" s="60">
        <v>13.0</v>
      </c>
      <c r="C177" s="61">
        <f>CAMPAGNE!F27</f>
        <v>46323</v>
      </c>
      <c r="D177" s="62">
        <v>0.75</v>
      </c>
      <c r="E177" s="63">
        <f>CAMPAGNE!H27</f>
        <v>46328</v>
      </c>
      <c r="F177" s="60" t="str">
        <f t="shared" si="1"/>
        <v>Lunedì</v>
      </c>
      <c r="G177" s="62">
        <v>0.8333333333333334</v>
      </c>
      <c r="H177" s="60" t="s">
        <v>128</v>
      </c>
      <c r="I177" s="60" t="s">
        <v>131</v>
      </c>
      <c r="J177" s="42" t="s">
        <v>483</v>
      </c>
      <c r="K177" s="60" t="s">
        <v>214</v>
      </c>
      <c r="L177" s="42" t="s">
        <v>534</v>
      </c>
      <c r="M177" s="42" t="s">
        <v>135</v>
      </c>
      <c r="N177" s="42" t="s">
        <v>629</v>
      </c>
      <c r="O177" s="42" t="s">
        <v>630</v>
      </c>
      <c r="P177" s="42" t="str">
        <f>TESTI!E27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Amazon: https://www.amazon.it/dp/B0GZJR8FSJ
#DiariDiPelle #Legami #IlGuinzaglio #Padova #DipendenzaAffettiva</v>
      </c>
      <c r="Q177" s="64" t="str">
        <f>TESTI!J27</f>
        <v>https://diaridipelle.it/legami.html</v>
      </c>
      <c r="R177" s="42" t="s">
        <v>139</v>
      </c>
      <c r="S177" s="60" t="s">
        <v>140</v>
      </c>
      <c r="T177" s="60" t="s">
        <v>124</v>
      </c>
      <c r="U177" s="42" t="s">
        <v>142</v>
      </c>
      <c r="V177" s="42" t="str">
        <f t="shared" si="2"/>
        <v/>
      </c>
    </row>
    <row r="178" ht="78.0" customHeight="1">
      <c r="A178" s="60" t="s">
        <v>858</v>
      </c>
      <c r="B178" s="60">
        <v>13.0</v>
      </c>
      <c r="C178" s="61">
        <f>CAMPAGNE!F27</f>
        <v>46323</v>
      </c>
      <c r="D178" s="62">
        <v>0.75</v>
      </c>
      <c r="E178" s="63">
        <f>CAMPAGNE!H27</f>
        <v>46328</v>
      </c>
      <c r="F178" s="60" t="str">
        <f t="shared" si="1"/>
        <v>Lunedì</v>
      </c>
      <c r="G178" s="62">
        <v>0.8333333333333334</v>
      </c>
      <c r="H178" s="60" t="s">
        <v>152</v>
      </c>
      <c r="I178" s="60" t="s">
        <v>131</v>
      </c>
      <c r="J178" s="42" t="s">
        <v>483</v>
      </c>
      <c r="K178" s="60" t="s">
        <v>214</v>
      </c>
      <c r="L178" s="42" t="s">
        <v>534</v>
      </c>
      <c r="M178" s="42" t="s">
        <v>172</v>
      </c>
      <c r="N178" s="42" t="s">
        <v>629</v>
      </c>
      <c r="O178" s="42" t="s">
        <v>630</v>
      </c>
      <c r="P178" s="42" t="str">
        <f>TESTI!F27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https://diaridipelle.it/legami.html
🛒 Amazon: https://www.amazon.it/dp/B0GZJR8FSJ
#DiariDiPelle #Legami #IlGuinzaglio #Padova #DipendenzaAffettiva</v>
      </c>
      <c r="Q178" s="64" t="str">
        <f>TESTI!J27</f>
        <v>https://diaridipelle.it/legami.html</v>
      </c>
      <c r="R178" s="42" t="s">
        <v>188</v>
      </c>
      <c r="S178" s="60" t="s">
        <v>140</v>
      </c>
      <c r="T178" s="60" t="s">
        <v>124</v>
      </c>
      <c r="U178" s="42" t="s">
        <v>193</v>
      </c>
      <c r="V178" s="42" t="str">
        <f t="shared" si="2"/>
        <v/>
      </c>
    </row>
    <row r="179" ht="78.0" customHeight="1">
      <c r="A179" s="60" t="s">
        <v>859</v>
      </c>
      <c r="B179" s="60">
        <v>13.0</v>
      </c>
      <c r="C179" s="61">
        <f>CAMPAGNE!G27</f>
        <v>46323</v>
      </c>
      <c r="D179" s="62">
        <v>0.75</v>
      </c>
      <c r="E179" s="63">
        <f>CAMPAGNE!H27</f>
        <v>46328</v>
      </c>
      <c r="F179" s="60" t="str">
        <f t="shared" si="1"/>
        <v>Lunedì</v>
      </c>
      <c r="G179" s="62">
        <v>0.8333333333333334</v>
      </c>
      <c r="H179" s="60" t="s">
        <v>213</v>
      </c>
      <c r="I179" s="60" t="s">
        <v>111</v>
      </c>
      <c r="J179" s="42" t="s">
        <v>483</v>
      </c>
      <c r="K179" s="60" t="s">
        <v>214</v>
      </c>
      <c r="L179" s="42" t="s">
        <v>534</v>
      </c>
      <c r="M179" s="42" t="s">
        <v>223</v>
      </c>
      <c r="N179" s="42" t="s">
        <v>629</v>
      </c>
      <c r="O179" s="42" t="s">
        <v>630</v>
      </c>
      <c r="P179" s="42" t="str">
        <f>TESTI!G27</f>
        <v>A Padova, Virginia ritorna mentre Ella continua a vivere in ogni fantasia.
«Il Guinzaglio» da Legami.
Scopri il libro dal link in bio.
#DiariDiPelle #Legami #BookTokItalia #LibriTikTok</v>
      </c>
      <c r="Q179" s="64" t="str">
        <f>TESTI!J27</f>
        <v>https://diaridipelle.it/legami.html</v>
      </c>
      <c r="R179" s="42" t="s">
        <v>138</v>
      </c>
      <c r="S179" s="60" t="s">
        <v>231</v>
      </c>
      <c r="T179" s="60" t="s">
        <v>124</v>
      </c>
      <c r="U179" s="42" t="s">
        <v>234</v>
      </c>
      <c r="V179" s="42" t="str">
        <f t="shared" si="2"/>
        <v/>
      </c>
    </row>
    <row r="180" ht="78.0" customHeight="1">
      <c r="A180" s="60" t="s">
        <v>860</v>
      </c>
      <c r="B180" s="60">
        <v>13.0</v>
      </c>
      <c r="C180" s="61">
        <f>CAMPAGNE!I27</f>
        <v>46329</v>
      </c>
      <c r="D180" s="62">
        <v>0.4965277777777778</v>
      </c>
      <c r="E180" s="63">
        <f>CAMPAGNE!I27</f>
        <v>46329</v>
      </c>
      <c r="F180" s="60" t="str">
        <f t="shared" si="1"/>
        <v>Martedì</v>
      </c>
      <c r="G180" s="62">
        <v>0.5</v>
      </c>
      <c r="H180" s="60" t="s">
        <v>128</v>
      </c>
      <c r="I180" s="60" t="s">
        <v>170</v>
      </c>
      <c r="J180" s="42" t="s">
        <v>483</v>
      </c>
      <c r="K180" s="60" t="s">
        <v>214</v>
      </c>
      <c r="L180" s="42" t="s">
        <v>534</v>
      </c>
      <c r="M180" s="42" t="s">
        <v>252</v>
      </c>
      <c r="N180" s="42" t="s">
        <v>631</v>
      </c>
      <c r="O180" s="42" t="s">
        <v>861</v>
      </c>
      <c r="P180" s="42" t="str">
        <f>TESTI!N27</f>
        <v>Tocca SCOPRI IL LIBRO e scegli cartaceo o Kindle.</v>
      </c>
      <c r="Q180" s="64" t="str">
        <f>TESTI!H27</f>
        <v>https://diaridipelle.it/legami.html?utm_source=instagram&amp;utm_medium=story&amp;utm_campaign=legami&amp;utm_content=ch03</v>
      </c>
      <c r="R180" s="42" t="s">
        <v>139</v>
      </c>
      <c r="S180" s="60" t="s">
        <v>79</v>
      </c>
      <c r="T180" s="60" t="s">
        <v>124</v>
      </c>
      <c r="U180" s="42" t="s">
        <v>262</v>
      </c>
      <c r="V180" s="42" t="str">
        <f t="shared" si="2"/>
        <v/>
      </c>
    </row>
    <row r="181" ht="78.0" customHeight="1">
      <c r="A181" s="60" t="s">
        <v>862</v>
      </c>
      <c r="B181" s="60">
        <v>13.0</v>
      </c>
      <c r="C181" s="61">
        <f>CAMPAGNE!F27</f>
        <v>46323</v>
      </c>
      <c r="D181" s="62">
        <v>0.75</v>
      </c>
      <c r="E181" s="63">
        <f>CAMPAGNE!I27</f>
        <v>46329</v>
      </c>
      <c r="F181" s="60" t="str">
        <f t="shared" si="1"/>
        <v>Martedì</v>
      </c>
      <c r="G181" s="62">
        <v>0.5</v>
      </c>
      <c r="H181" s="60" t="s">
        <v>152</v>
      </c>
      <c r="I181" s="60" t="s">
        <v>170</v>
      </c>
      <c r="J181" s="42" t="s">
        <v>483</v>
      </c>
      <c r="K181" s="60" t="s">
        <v>214</v>
      </c>
      <c r="L181" s="42" t="s">
        <v>534</v>
      </c>
      <c r="M181" s="42" t="s">
        <v>285</v>
      </c>
      <c r="N181" s="42" t="s">
        <v>631</v>
      </c>
      <c r="O181" s="42" t="s">
        <v>861</v>
      </c>
      <c r="P181" s="42" t="str">
        <f>TESTI!N27</f>
        <v>Tocca SCOPRI IL LIBRO e scegli cartaceo o Kindle.</v>
      </c>
      <c r="Q181" s="64" t="str">
        <f>TESTI!I27</f>
        <v>https://diaridipelle.it/legami.html?utm_source=facebook&amp;utm_medium=story&amp;utm_campaign=legami&amp;utm_content=ch03</v>
      </c>
      <c r="R181" s="42" t="s">
        <v>188</v>
      </c>
      <c r="S181" s="60" t="s">
        <v>140</v>
      </c>
      <c r="T181" s="60" t="s">
        <v>124</v>
      </c>
      <c r="U181" s="42" t="s">
        <v>294</v>
      </c>
      <c r="V181" s="42" t="str">
        <f t="shared" si="2"/>
        <v/>
      </c>
    </row>
    <row r="182" ht="78.0" customHeight="1">
      <c r="A182" s="60" t="s">
        <v>863</v>
      </c>
      <c r="B182" s="60">
        <v>13.0</v>
      </c>
      <c r="C182" s="61">
        <f>CAMPAGNE!F27</f>
        <v>46323</v>
      </c>
      <c r="D182" s="62">
        <v>0.75</v>
      </c>
      <c r="E182" s="63">
        <f>CAMPAGNE!J27</f>
        <v>46330</v>
      </c>
      <c r="F182" s="60" t="str">
        <f t="shared" si="1"/>
        <v>Mercoledì</v>
      </c>
      <c r="G182" s="62">
        <v>0.4583333333333333</v>
      </c>
      <c r="H182" s="60" t="s">
        <v>128</v>
      </c>
      <c r="I182" s="60" t="s">
        <v>119</v>
      </c>
      <c r="J182" s="42" t="s">
        <v>483</v>
      </c>
      <c r="K182" s="60" t="s">
        <v>214</v>
      </c>
      <c r="L182" s="42" t="s">
        <v>534</v>
      </c>
      <c r="M182" s="42" t="s">
        <v>313</v>
      </c>
      <c r="N182" s="42" t="s">
        <v>632</v>
      </c>
      <c r="O182" s="42" t="s">
        <v>316</v>
      </c>
      <c r="P182" s="42" t="str">
        <f>TESTI!E27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Amazon: https://www.amazon.it/dp/B0GZJR8FSJ
#DiariDiPelle #Legami #IlGuinzaglio #Padova #DipendenzaAffettiva</v>
      </c>
      <c r="Q182" s="64" t="str">
        <f>TESTI!J27</f>
        <v>https://diaridipelle.it/legami.html</v>
      </c>
      <c r="R182" s="42" t="s">
        <v>139</v>
      </c>
      <c r="S182" s="60" t="s">
        <v>140</v>
      </c>
      <c r="T182" s="60" t="s">
        <v>124</v>
      </c>
      <c r="U182" s="42" t="s">
        <v>328</v>
      </c>
      <c r="V182" s="42" t="str">
        <f t="shared" si="2"/>
        <v/>
      </c>
    </row>
    <row r="183" ht="78.0" customHeight="1">
      <c r="A183" s="60" t="s">
        <v>864</v>
      </c>
      <c r="B183" s="60">
        <v>13.0</v>
      </c>
      <c r="C183" s="61">
        <f>CAMPAGNE!F27</f>
        <v>46323</v>
      </c>
      <c r="D183" s="62">
        <v>0.75</v>
      </c>
      <c r="E183" s="63">
        <f>CAMPAGNE!J27</f>
        <v>46330</v>
      </c>
      <c r="F183" s="60" t="str">
        <f t="shared" si="1"/>
        <v>Mercoledì</v>
      </c>
      <c r="G183" s="62">
        <v>0.4583333333333333</v>
      </c>
      <c r="H183" s="60" t="s">
        <v>152</v>
      </c>
      <c r="I183" s="60" t="s">
        <v>119</v>
      </c>
      <c r="J183" s="42" t="s">
        <v>483</v>
      </c>
      <c r="K183" s="60" t="s">
        <v>214</v>
      </c>
      <c r="L183" s="42" t="s">
        <v>534</v>
      </c>
      <c r="M183" s="42" t="s">
        <v>313</v>
      </c>
      <c r="N183" s="42" t="s">
        <v>632</v>
      </c>
      <c r="O183" s="42" t="s">
        <v>316</v>
      </c>
      <c r="P183" s="42" t="str">
        <f>TESTI!F27</f>
        <v>A Padova, Virginia ritorna mentre Ella continua a vivere in ogni fantasia.
Un bacio sul Piovego dovrebbe dimostrare che la libertà esiste ancora. Invece rivela una gabbia più profonda: qualunque donna venga desiderata passa ormai attraverso il filtro di un'altra.
Il Guinzaglio racconta quando un legame non impedisce agli altri corpi di esistere, ma li rende più colpevoli e più difficili da toccare.
Leggi Legămi dal link nel profilo.
🌐 https://diaridipelle.it/legami.html
🛒 Amazon: https://www.amazon.it/dp/B0GZJR8FSJ
#DiariDiPelle #Legami #IlGuinzaglio #Padova #DipendenzaAffettiva</v>
      </c>
      <c r="Q183" s="64" t="str">
        <f>TESTI!J27</f>
        <v>https://diaridipelle.it/legami.html</v>
      </c>
      <c r="R183" s="42" t="s">
        <v>188</v>
      </c>
      <c r="S183" s="60" t="s">
        <v>140</v>
      </c>
      <c r="T183" s="60" t="s">
        <v>124</v>
      </c>
      <c r="U183" s="42" t="s">
        <v>351</v>
      </c>
      <c r="V183" s="42" t="str">
        <f t="shared" si="2"/>
        <v/>
      </c>
    </row>
    <row r="184" ht="78.0" customHeight="1">
      <c r="A184" s="60" t="s">
        <v>865</v>
      </c>
      <c r="B184" s="60">
        <v>14.0</v>
      </c>
      <c r="C184" s="61">
        <f>CAMPAGNE!F28</f>
        <v>46323</v>
      </c>
      <c r="D184" s="62">
        <v>0.75</v>
      </c>
      <c r="E184" s="63">
        <f>CAMPAGNE!H28</f>
        <v>46332</v>
      </c>
      <c r="F184" s="60" t="str">
        <f t="shared" si="1"/>
        <v>Venerdì</v>
      </c>
      <c r="G184" s="62">
        <v>0.8333333333333334</v>
      </c>
      <c r="H184" s="60" t="s">
        <v>128</v>
      </c>
      <c r="I184" s="60" t="s">
        <v>131</v>
      </c>
      <c r="J184" s="42" t="s">
        <v>483</v>
      </c>
      <c r="K184" s="60" t="s">
        <v>227</v>
      </c>
      <c r="L184" s="42" t="s">
        <v>549</v>
      </c>
      <c r="M184" s="42" t="s">
        <v>135</v>
      </c>
      <c r="N184" s="42" t="s">
        <v>648</v>
      </c>
      <c r="O184" s="42" t="s">
        <v>650</v>
      </c>
      <c r="P184" s="42" t="str">
        <f>TESTI!E28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Amazon: https://www.amazon.it/dp/B0GZJR8FSJ
#DiariDiPelle #Legami #IlNodo #Bologna #Relazioni</v>
      </c>
      <c r="Q184" s="64" t="str">
        <f>TESTI!J28</f>
        <v>https://diaridipelle.it/legami.html</v>
      </c>
      <c r="R184" s="42" t="s">
        <v>139</v>
      </c>
      <c r="S184" s="60" t="s">
        <v>140</v>
      </c>
      <c r="T184" s="60" t="s">
        <v>124</v>
      </c>
      <c r="U184" s="42" t="s">
        <v>142</v>
      </c>
      <c r="V184" s="42" t="str">
        <f t="shared" si="2"/>
        <v/>
      </c>
    </row>
    <row r="185" ht="78.0" customHeight="1">
      <c r="A185" s="60" t="s">
        <v>866</v>
      </c>
      <c r="B185" s="60">
        <v>14.0</v>
      </c>
      <c r="C185" s="61">
        <f>CAMPAGNE!F28</f>
        <v>46323</v>
      </c>
      <c r="D185" s="62">
        <v>0.75</v>
      </c>
      <c r="E185" s="63">
        <f>CAMPAGNE!H28</f>
        <v>46332</v>
      </c>
      <c r="F185" s="60" t="str">
        <f t="shared" si="1"/>
        <v>Venerdì</v>
      </c>
      <c r="G185" s="62">
        <v>0.8333333333333334</v>
      </c>
      <c r="H185" s="60" t="s">
        <v>152</v>
      </c>
      <c r="I185" s="60" t="s">
        <v>131</v>
      </c>
      <c r="J185" s="42" t="s">
        <v>483</v>
      </c>
      <c r="K185" s="60" t="s">
        <v>227</v>
      </c>
      <c r="L185" s="42" t="s">
        <v>549</v>
      </c>
      <c r="M185" s="42" t="s">
        <v>172</v>
      </c>
      <c r="N185" s="42" t="s">
        <v>648</v>
      </c>
      <c r="O185" s="42" t="s">
        <v>650</v>
      </c>
      <c r="P185" s="42" t="str">
        <f>TESTI!F28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https://diaridipelle.it/legami.html
🛒 Amazon: https://www.amazon.it/dp/B0GZJR8FSJ
#DiariDiPelle #Legami #IlNodo #Bologna #Relazioni</v>
      </c>
      <c r="Q185" s="64" t="str">
        <f>TESTI!J28</f>
        <v>https://diaridipelle.it/legami.html</v>
      </c>
      <c r="R185" s="42" t="s">
        <v>188</v>
      </c>
      <c r="S185" s="60" t="s">
        <v>140</v>
      </c>
      <c r="T185" s="60" t="s">
        <v>124</v>
      </c>
      <c r="U185" s="42" t="s">
        <v>193</v>
      </c>
      <c r="V185" s="42" t="str">
        <f t="shared" si="2"/>
        <v/>
      </c>
    </row>
    <row r="186" ht="78.0" customHeight="1">
      <c r="A186" s="60" t="s">
        <v>867</v>
      </c>
      <c r="B186" s="60">
        <v>14.0</v>
      </c>
      <c r="C186" s="61">
        <f>CAMPAGNE!G28</f>
        <v>46330</v>
      </c>
      <c r="D186" s="62">
        <v>0.75</v>
      </c>
      <c r="E186" s="63">
        <f>CAMPAGNE!H28</f>
        <v>46332</v>
      </c>
      <c r="F186" s="60" t="str">
        <f t="shared" si="1"/>
        <v>Venerdì</v>
      </c>
      <c r="G186" s="62">
        <v>0.8333333333333334</v>
      </c>
      <c r="H186" s="60" t="s">
        <v>213</v>
      </c>
      <c r="I186" s="60" t="s">
        <v>111</v>
      </c>
      <c r="J186" s="42" t="s">
        <v>483</v>
      </c>
      <c r="K186" s="60" t="s">
        <v>227</v>
      </c>
      <c r="L186" s="42" t="s">
        <v>549</v>
      </c>
      <c r="M186" s="42" t="s">
        <v>223</v>
      </c>
      <c r="N186" s="42" t="s">
        <v>648</v>
      </c>
      <c r="O186" s="42" t="s">
        <v>650</v>
      </c>
      <c r="P186" s="42" t="str">
        <f>TESTI!G28</f>
        <v>Ella chiede una pausa. Lui la trasforma in una fine e prova a riempire il vuoto con il ritorno di Héloïse.
«Il Nodo» da Legami.
Scopri il libro dal link in bio.
#DiariDiPelle #Legami #BookTokItalia #LibriTikTok</v>
      </c>
      <c r="Q186" s="64" t="str">
        <f>TESTI!J28</f>
        <v>https://diaridipelle.it/legami.html</v>
      </c>
      <c r="R186" s="42" t="s">
        <v>138</v>
      </c>
      <c r="S186" s="60" t="s">
        <v>231</v>
      </c>
      <c r="T186" s="60" t="s">
        <v>124</v>
      </c>
      <c r="U186" s="42" t="s">
        <v>234</v>
      </c>
      <c r="V186" s="42" t="str">
        <f t="shared" si="2"/>
        <v/>
      </c>
    </row>
    <row r="187" ht="78.0" customHeight="1">
      <c r="A187" s="60" t="s">
        <v>868</v>
      </c>
      <c r="B187" s="60">
        <v>14.0</v>
      </c>
      <c r="C187" s="61">
        <f>CAMPAGNE!I28</f>
        <v>46333</v>
      </c>
      <c r="D187" s="62">
        <v>0.4965277777777778</v>
      </c>
      <c r="E187" s="63">
        <f>CAMPAGNE!I28</f>
        <v>46333</v>
      </c>
      <c r="F187" s="60" t="str">
        <f t="shared" si="1"/>
        <v>Sabato</v>
      </c>
      <c r="G187" s="62">
        <v>0.5</v>
      </c>
      <c r="H187" s="60" t="s">
        <v>128</v>
      </c>
      <c r="I187" s="60" t="s">
        <v>170</v>
      </c>
      <c r="J187" s="42" t="s">
        <v>483</v>
      </c>
      <c r="K187" s="60" t="s">
        <v>227</v>
      </c>
      <c r="L187" s="42" t="s">
        <v>549</v>
      </c>
      <c r="M187" s="42" t="s">
        <v>252</v>
      </c>
      <c r="N187" s="42" t="s">
        <v>652</v>
      </c>
      <c r="O187" s="42" t="s">
        <v>869</v>
      </c>
      <c r="P187" s="42" t="str">
        <f>TESTI!N28</f>
        <v>Tocca SCOPRI IL LIBRO e scegli cartaceo o Kindle.</v>
      </c>
      <c r="Q187" s="64" t="str">
        <f>TESTI!H28</f>
        <v>https://diaridipelle.it/legami.html?utm_source=instagram&amp;utm_medium=story&amp;utm_campaign=legami&amp;utm_content=ch04</v>
      </c>
      <c r="R187" s="42" t="s">
        <v>139</v>
      </c>
      <c r="S187" s="60" t="s">
        <v>79</v>
      </c>
      <c r="T187" s="60" t="s">
        <v>124</v>
      </c>
      <c r="U187" s="42" t="s">
        <v>262</v>
      </c>
      <c r="V187" s="42" t="str">
        <f t="shared" si="2"/>
        <v/>
      </c>
    </row>
    <row r="188" ht="78.0" customHeight="1">
      <c r="A188" s="60" t="s">
        <v>870</v>
      </c>
      <c r="B188" s="60">
        <v>14.0</v>
      </c>
      <c r="C188" s="61">
        <f>CAMPAGNE!F28</f>
        <v>46323</v>
      </c>
      <c r="D188" s="62">
        <v>0.75</v>
      </c>
      <c r="E188" s="63">
        <f>CAMPAGNE!I28</f>
        <v>46333</v>
      </c>
      <c r="F188" s="60" t="str">
        <f t="shared" si="1"/>
        <v>Sabato</v>
      </c>
      <c r="G188" s="62">
        <v>0.5</v>
      </c>
      <c r="H188" s="60" t="s">
        <v>152</v>
      </c>
      <c r="I188" s="60" t="s">
        <v>170</v>
      </c>
      <c r="J188" s="42" t="s">
        <v>483</v>
      </c>
      <c r="K188" s="60" t="s">
        <v>227</v>
      </c>
      <c r="L188" s="42" t="s">
        <v>549</v>
      </c>
      <c r="M188" s="42" t="s">
        <v>285</v>
      </c>
      <c r="N188" s="42" t="s">
        <v>652</v>
      </c>
      <c r="O188" s="42" t="s">
        <v>869</v>
      </c>
      <c r="P188" s="42" t="str">
        <f>TESTI!N28</f>
        <v>Tocca SCOPRI IL LIBRO e scegli cartaceo o Kindle.</v>
      </c>
      <c r="Q188" s="64" t="str">
        <f>TESTI!I28</f>
        <v>https://diaridipelle.it/legami.html?utm_source=facebook&amp;utm_medium=story&amp;utm_campaign=legami&amp;utm_content=ch04</v>
      </c>
      <c r="R188" s="42" t="s">
        <v>188</v>
      </c>
      <c r="S188" s="60" t="s">
        <v>140</v>
      </c>
      <c r="T188" s="60" t="s">
        <v>124</v>
      </c>
      <c r="U188" s="42" t="s">
        <v>294</v>
      </c>
      <c r="V188" s="42" t="str">
        <f t="shared" si="2"/>
        <v/>
      </c>
    </row>
    <row r="189" ht="78.0" customHeight="1">
      <c r="A189" s="60" t="s">
        <v>871</v>
      </c>
      <c r="B189" s="60">
        <v>14.0</v>
      </c>
      <c r="C189" s="61">
        <f>CAMPAGNE!F28</f>
        <v>46323</v>
      </c>
      <c r="D189" s="62">
        <v>0.75</v>
      </c>
      <c r="E189" s="63">
        <f>CAMPAGNE!J28</f>
        <v>46334</v>
      </c>
      <c r="F189" s="60" t="str">
        <f t="shared" si="1"/>
        <v>Domenica</v>
      </c>
      <c r="G189" s="62">
        <v>0.8333333333333334</v>
      </c>
      <c r="H189" s="60" t="s">
        <v>128</v>
      </c>
      <c r="I189" s="60" t="s">
        <v>119</v>
      </c>
      <c r="J189" s="42" t="s">
        <v>483</v>
      </c>
      <c r="K189" s="60" t="s">
        <v>227</v>
      </c>
      <c r="L189" s="42" t="s">
        <v>549</v>
      </c>
      <c r="M189" s="42" t="s">
        <v>313</v>
      </c>
      <c r="N189" s="42" t="s">
        <v>655</v>
      </c>
      <c r="O189" s="42" t="s">
        <v>316</v>
      </c>
      <c r="P189" s="42" t="str">
        <f>TESTI!E28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Amazon: https://www.amazon.it/dp/B0GZJR8FSJ
#DiariDiPelle #Legami #IlNodo #Bologna #Relazioni</v>
      </c>
      <c r="Q189" s="64" t="str">
        <f>TESTI!J28</f>
        <v>https://diaridipelle.it/legami.html</v>
      </c>
      <c r="R189" s="42" t="s">
        <v>139</v>
      </c>
      <c r="S189" s="60" t="s">
        <v>140</v>
      </c>
      <c r="T189" s="60" t="s">
        <v>124</v>
      </c>
      <c r="U189" s="42" t="s">
        <v>328</v>
      </c>
      <c r="V189" s="42" t="str">
        <f t="shared" si="2"/>
        <v/>
      </c>
    </row>
    <row r="190" ht="78.0" customHeight="1">
      <c r="A190" s="60" t="s">
        <v>872</v>
      </c>
      <c r="B190" s="60">
        <v>14.0</v>
      </c>
      <c r="C190" s="61">
        <f>CAMPAGNE!F28</f>
        <v>46323</v>
      </c>
      <c r="D190" s="62">
        <v>0.75</v>
      </c>
      <c r="E190" s="63">
        <f>CAMPAGNE!J28</f>
        <v>46334</v>
      </c>
      <c r="F190" s="60" t="str">
        <f t="shared" si="1"/>
        <v>Domenica</v>
      </c>
      <c r="G190" s="62">
        <v>0.8333333333333334</v>
      </c>
      <c r="H190" s="60" t="s">
        <v>152</v>
      </c>
      <c r="I190" s="60" t="s">
        <v>119</v>
      </c>
      <c r="J190" s="42" t="s">
        <v>483</v>
      </c>
      <c r="K190" s="60" t="s">
        <v>227</v>
      </c>
      <c r="L190" s="42" t="s">
        <v>549</v>
      </c>
      <c r="M190" s="42" t="s">
        <v>313</v>
      </c>
      <c r="N190" s="42" t="s">
        <v>655</v>
      </c>
      <c r="O190" s="42" t="s">
        <v>316</v>
      </c>
      <c r="P190" s="42" t="str">
        <f>TESTI!F28</f>
        <v>Ella chiede una pausa. Lui la trasforma in una fine e prova a riempire il vuoto con il ritorno di Héloïse.
Ma il corpo di un'altra persona non può diventare la vendetta contro chi è assente. Quando il dolore non viene riconosciuto, finisce per essere scaricato su chi non ne ha colpa.
Il Nodo è il capitolo più scomodo di Legămi: non cerca assoluzioni, ma responsabilità.
Continua dal link nel profilo.
🌐 https://diaridipelle.it/legami.html
🛒 Amazon: https://www.amazon.it/dp/B0GZJR8FSJ
#DiariDiPelle #Legami #IlNodo #Bologna #Relazioni</v>
      </c>
      <c r="Q190" s="64" t="str">
        <f>TESTI!J28</f>
        <v>https://diaridipelle.it/legami.html</v>
      </c>
      <c r="R190" s="42" t="s">
        <v>188</v>
      </c>
      <c r="S190" s="60" t="s">
        <v>140</v>
      </c>
      <c r="T190" s="60" t="s">
        <v>124</v>
      </c>
      <c r="U190" s="42" t="s">
        <v>351</v>
      </c>
      <c r="V190" s="42" t="str">
        <f t="shared" si="2"/>
        <v/>
      </c>
    </row>
    <row r="191" ht="78.0" customHeight="1">
      <c r="A191" s="60" t="s">
        <v>873</v>
      </c>
      <c r="B191" s="60">
        <v>14.0</v>
      </c>
      <c r="C191" s="61">
        <f>CAMPAGNE!F29</f>
        <v>46323</v>
      </c>
      <c r="D191" s="62">
        <v>0.75</v>
      </c>
      <c r="E191" s="63">
        <f>CAMPAGNE!H29</f>
        <v>46335</v>
      </c>
      <c r="F191" s="60" t="str">
        <f t="shared" si="1"/>
        <v>Lunedì</v>
      </c>
      <c r="G191" s="62">
        <v>0.8333333333333334</v>
      </c>
      <c r="H191" s="60" t="s">
        <v>128</v>
      </c>
      <c r="I191" s="60" t="s">
        <v>131</v>
      </c>
      <c r="J191" s="42" t="s">
        <v>483</v>
      </c>
      <c r="K191" s="60" t="s">
        <v>243</v>
      </c>
      <c r="L191" s="42" t="s">
        <v>562</v>
      </c>
      <c r="M191" s="42" t="s">
        <v>135</v>
      </c>
      <c r="N191" s="42" t="s">
        <v>659</v>
      </c>
      <c r="O191" s="42" t="s">
        <v>660</v>
      </c>
      <c r="P191" s="42" t="str">
        <f>TESTI!E29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Amazon: https://www.amazon.it/dp/B0GZJR8FSJ
#DiariDiPelle #Legami #IlMorso #Bologna #LibriDaLeggere</v>
      </c>
      <c r="Q191" s="64" t="str">
        <f>TESTI!J29</f>
        <v>https://diaridipelle.it/legami.html</v>
      </c>
      <c r="R191" s="42" t="s">
        <v>139</v>
      </c>
      <c r="S191" s="60" t="s">
        <v>140</v>
      </c>
      <c r="T191" s="60" t="s">
        <v>124</v>
      </c>
      <c r="U191" s="42" t="s">
        <v>142</v>
      </c>
      <c r="V191" s="42" t="str">
        <f t="shared" si="2"/>
        <v/>
      </c>
    </row>
    <row r="192" ht="78.0" customHeight="1">
      <c r="A192" s="60" t="s">
        <v>874</v>
      </c>
      <c r="B192" s="60">
        <v>14.0</v>
      </c>
      <c r="C192" s="61">
        <f>CAMPAGNE!F29</f>
        <v>46323</v>
      </c>
      <c r="D192" s="62">
        <v>0.75</v>
      </c>
      <c r="E192" s="63">
        <f>CAMPAGNE!H29</f>
        <v>46335</v>
      </c>
      <c r="F192" s="60" t="str">
        <f t="shared" si="1"/>
        <v>Lunedì</v>
      </c>
      <c r="G192" s="62">
        <v>0.8333333333333334</v>
      </c>
      <c r="H192" s="60" t="s">
        <v>152</v>
      </c>
      <c r="I192" s="60" t="s">
        <v>131</v>
      </c>
      <c r="J192" s="42" t="s">
        <v>483</v>
      </c>
      <c r="K192" s="60" t="s">
        <v>243</v>
      </c>
      <c r="L192" s="42" t="s">
        <v>562</v>
      </c>
      <c r="M192" s="42" t="s">
        <v>172</v>
      </c>
      <c r="N192" s="42" t="s">
        <v>659</v>
      </c>
      <c r="O192" s="42" t="s">
        <v>660</v>
      </c>
      <c r="P192" s="42" t="str">
        <f>TESTI!F29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https://diaridipelle.it/legami.html
🛒 Amazon: https://www.amazon.it/dp/B0GZJR8FSJ
#DiariDiPelle #Legami #IlMorso #Bologna #LibriDaLeggere</v>
      </c>
      <c r="Q192" s="64" t="str">
        <f>TESTI!J29</f>
        <v>https://diaridipelle.it/legami.html</v>
      </c>
      <c r="R192" s="42" t="s">
        <v>188</v>
      </c>
      <c r="S192" s="60" t="s">
        <v>140</v>
      </c>
      <c r="T192" s="60" t="s">
        <v>124</v>
      </c>
      <c r="U192" s="42" t="s">
        <v>193</v>
      </c>
      <c r="V192" s="42" t="str">
        <f t="shared" si="2"/>
        <v/>
      </c>
    </row>
    <row r="193" ht="78.0" customHeight="1">
      <c r="A193" s="60" t="s">
        <v>875</v>
      </c>
      <c r="B193" s="60">
        <v>14.0</v>
      </c>
      <c r="C193" s="61">
        <f>CAMPAGNE!G29</f>
        <v>46330</v>
      </c>
      <c r="D193" s="62">
        <v>0.75</v>
      </c>
      <c r="E193" s="63">
        <f>CAMPAGNE!H29</f>
        <v>46335</v>
      </c>
      <c r="F193" s="60" t="str">
        <f t="shared" si="1"/>
        <v>Lunedì</v>
      </c>
      <c r="G193" s="62">
        <v>0.8333333333333334</v>
      </c>
      <c r="H193" s="60" t="s">
        <v>213</v>
      </c>
      <c r="I193" s="60" t="s">
        <v>111</v>
      </c>
      <c r="J193" s="42" t="s">
        <v>483</v>
      </c>
      <c r="K193" s="60" t="s">
        <v>243</v>
      </c>
      <c r="L193" s="42" t="s">
        <v>562</v>
      </c>
      <c r="M193" s="42" t="s">
        <v>223</v>
      </c>
      <c r="N193" s="42" t="s">
        <v>659</v>
      </c>
      <c r="O193" s="42" t="s">
        <v>660</v>
      </c>
      <c r="P193" s="42" t="str">
        <f>TESTI!G29</f>
        <v>Bologna, luglio. Una cena, il vino, una donna arrivata da Chicago e una notte troppo intensa per diventare abitudine.
«Il Morso» da Legami.
Scopri il libro dal link in bio.
#DiariDiPelle #Legami #BookTokItalia #LibriTikTok</v>
      </c>
      <c r="Q193" s="64" t="str">
        <f>TESTI!J29</f>
        <v>https://diaridipelle.it/legami.html</v>
      </c>
      <c r="R193" s="42" t="s">
        <v>138</v>
      </c>
      <c r="S193" s="60" t="s">
        <v>231</v>
      </c>
      <c r="T193" s="60" t="s">
        <v>124</v>
      </c>
      <c r="U193" s="42" t="s">
        <v>234</v>
      </c>
      <c r="V193" s="42" t="str">
        <f t="shared" si="2"/>
        <v/>
      </c>
    </row>
    <row r="194" ht="78.0" customHeight="1">
      <c r="A194" s="60" t="s">
        <v>876</v>
      </c>
      <c r="B194" s="60">
        <v>14.0</v>
      </c>
      <c r="C194" s="61">
        <f>CAMPAGNE!I29</f>
        <v>46336</v>
      </c>
      <c r="D194" s="62">
        <v>0.4965277777777778</v>
      </c>
      <c r="E194" s="63">
        <f>CAMPAGNE!I29</f>
        <v>46336</v>
      </c>
      <c r="F194" s="60" t="str">
        <f t="shared" si="1"/>
        <v>Martedì</v>
      </c>
      <c r="G194" s="62">
        <v>0.5</v>
      </c>
      <c r="H194" s="60" t="s">
        <v>128</v>
      </c>
      <c r="I194" s="60" t="s">
        <v>170</v>
      </c>
      <c r="J194" s="42" t="s">
        <v>483</v>
      </c>
      <c r="K194" s="60" t="s">
        <v>243</v>
      </c>
      <c r="L194" s="42" t="s">
        <v>562</v>
      </c>
      <c r="M194" s="42" t="s">
        <v>252</v>
      </c>
      <c r="N194" s="42" t="s">
        <v>661</v>
      </c>
      <c r="O194" s="42" t="s">
        <v>877</v>
      </c>
      <c r="P194" s="42" t="str">
        <f>TESTI!N29</f>
        <v>Tocca SCOPRI IL LIBRO e scegli cartaceo o Kindle.</v>
      </c>
      <c r="Q194" s="64" t="str">
        <f>TESTI!H29</f>
        <v>https://diaridipelle.it/legami.html?utm_source=instagram&amp;utm_medium=story&amp;utm_campaign=legami&amp;utm_content=ch05</v>
      </c>
      <c r="R194" s="42" t="s">
        <v>139</v>
      </c>
      <c r="S194" s="60" t="s">
        <v>79</v>
      </c>
      <c r="T194" s="60" t="s">
        <v>124</v>
      </c>
      <c r="U194" s="42" t="s">
        <v>262</v>
      </c>
      <c r="V194" s="42" t="str">
        <f t="shared" si="2"/>
        <v/>
      </c>
    </row>
    <row r="195" ht="78.0" customHeight="1">
      <c r="A195" s="60" t="s">
        <v>878</v>
      </c>
      <c r="B195" s="60">
        <v>14.0</v>
      </c>
      <c r="C195" s="61">
        <f>CAMPAGNE!F29</f>
        <v>46323</v>
      </c>
      <c r="D195" s="62">
        <v>0.75</v>
      </c>
      <c r="E195" s="63">
        <f>CAMPAGNE!I29</f>
        <v>46336</v>
      </c>
      <c r="F195" s="60" t="str">
        <f t="shared" si="1"/>
        <v>Martedì</v>
      </c>
      <c r="G195" s="62">
        <v>0.5</v>
      </c>
      <c r="H195" s="60" t="s">
        <v>152</v>
      </c>
      <c r="I195" s="60" t="s">
        <v>170</v>
      </c>
      <c r="J195" s="42" t="s">
        <v>483</v>
      </c>
      <c r="K195" s="60" t="s">
        <v>243</v>
      </c>
      <c r="L195" s="42" t="s">
        <v>562</v>
      </c>
      <c r="M195" s="42" t="s">
        <v>285</v>
      </c>
      <c r="N195" s="42" t="s">
        <v>661</v>
      </c>
      <c r="O195" s="42" t="s">
        <v>877</v>
      </c>
      <c r="P195" s="42" t="str">
        <f>TESTI!N29</f>
        <v>Tocca SCOPRI IL LIBRO e scegli cartaceo o Kindle.</v>
      </c>
      <c r="Q195" s="64" t="str">
        <f>TESTI!I29</f>
        <v>https://diaridipelle.it/legami.html?utm_source=facebook&amp;utm_medium=story&amp;utm_campaign=legami&amp;utm_content=ch05</v>
      </c>
      <c r="R195" s="42" t="s">
        <v>188</v>
      </c>
      <c r="S195" s="60" t="s">
        <v>140</v>
      </c>
      <c r="T195" s="60" t="s">
        <v>124</v>
      </c>
      <c r="U195" s="42" t="s">
        <v>294</v>
      </c>
      <c r="V195" s="42" t="str">
        <f t="shared" si="2"/>
        <v/>
      </c>
    </row>
    <row r="196" ht="78.0" customHeight="1">
      <c r="A196" s="60" t="s">
        <v>879</v>
      </c>
      <c r="B196" s="60">
        <v>14.0</v>
      </c>
      <c r="C196" s="61">
        <f>CAMPAGNE!F29</f>
        <v>46323</v>
      </c>
      <c r="D196" s="62">
        <v>0.75</v>
      </c>
      <c r="E196" s="63">
        <f>CAMPAGNE!J29</f>
        <v>46337</v>
      </c>
      <c r="F196" s="60" t="str">
        <f t="shared" si="1"/>
        <v>Mercoledì</v>
      </c>
      <c r="G196" s="62">
        <v>0.4583333333333333</v>
      </c>
      <c r="H196" s="60" t="s">
        <v>128</v>
      </c>
      <c r="I196" s="60" t="s">
        <v>119</v>
      </c>
      <c r="J196" s="42" t="s">
        <v>483</v>
      </c>
      <c r="K196" s="60" t="s">
        <v>243</v>
      </c>
      <c r="L196" s="42" t="s">
        <v>562</v>
      </c>
      <c r="M196" s="42" t="s">
        <v>313</v>
      </c>
      <c r="N196" s="42" t="s">
        <v>662</v>
      </c>
      <c r="O196" s="42" t="s">
        <v>316</v>
      </c>
      <c r="P196" s="42" t="str">
        <f>TESTI!E29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Amazon: https://www.amazon.it/dp/B0GZJR8FSJ
#DiariDiPelle #Legami #IlMorso #Bologna #LibriDaLeggere</v>
      </c>
      <c r="Q196" s="64" t="str">
        <f>TESTI!J29</f>
        <v>https://diaridipelle.it/legami.html</v>
      </c>
      <c r="R196" s="42" t="s">
        <v>139</v>
      </c>
      <c r="S196" s="60" t="s">
        <v>140</v>
      </c>
      <c r="T196" s="60" t="s">
        <v>124</v>
      </c>
      <c r="U196" s="42" t="s">
        <v>328</v>
      </c>
      <c r="V196" s="42" t="str">
        <f t="shared" si="2"/>
        <v/>
      </c>
    </row>
    <row r="197" ht="78.0" customHeight="1">
      <c r="A197" s="60" t="s">
        <v>880</v>
      </c>
      <c r="B197" s="60">
        <v>14.0</v>
      </c>
      <c r="C197" s="61">
        <f>CAMPAGNE!F29</f>
        <v>46323</v>
      </c>
      <c r="D197" s="62">
        <v>0.75</v>
      </c>
      <c r="E197" s="63">
        <f>CAMPAGNE!J29</f>
        <v>46337</v>
      </c>
      <c r="F197" s="60" t="str">
        <f t="shared" si="1"/>
        <v>Mercoledì</v>
      </c>
      <c r="G197" s="62">
        <v>0.4583333333333333</v>
      </c>
      <c r="H197" s="60" t="s">
        <v>152</v>
      </c>
      <c r="I197" s="60" t="s">
        <v>119</v>
      </c>
      <c r="J197" s="42" t="s">
        <v>483</v>
      </c>
      <c r="K197" s="60" t="s">
        <v>243</v>
      </c>
      <c r="L197" s="42" t="s">
        <v>562</v>
      </c>
      <c r="M197" s="42" t="s">
        <v>313</v>
      </c>
      <c r="N197" s="42" t="s">
        <v>662</v>
      </c>
      <c r="O197" s="42" t="s">
        <v>316</v>
      </c>
      <c r="P197" s="42" t="str">
        <f>TESTI!F29</f>
        <v>Bologna, luglio. Una cena, il vino, una donna arrivata da Chicago e una notte troppo intensa per diventare abitudine.
Joy entra come una fame rapida e luminosa. Solo dopo arriva la verità: stava per sposarsi. Il ricordo cambia sapore e ciò che sembrava libertà diventa un ultimo segno lasciato sulla pelle.
Alcuni desideri sono troppo brevi per diventare casa e troppo veri per sparire.
Scopri Il Morso in Legămi dal link nel profilo.
🌐 https://diaridipelle.it/legami.html
🛒 Amazon: https://www.amazon.it/dp/B0GZJR8FSJ
#DiariDiPelle #Legami #IlMorso #Bologna #LibriDaLeggere</v>
      </c>
      <c r="Q197" s="64" t="str">
        <f>TESTI!J29</f>
        <v>https://diaridipelle.it/legami.html</v>
      </c>
      <c r="R197" s="42" t="s">
        <v>188</v>
      </c>
      <c r="S197" s="60" t="s">
        <v>140</v>
      </c>
      <c r="T197" s="60" t="s">
        <v>124</v>
      </c>
      <c r="U197" s="42" t="s">
        <v>351</v>
      </c>
      <c r="V197" s="42" t="str">
        <f t="shared" si="2"/>
        <v/>
      </c>
    </row>
    <row r="198" ht="78.0" customHeight="1">
      <c r="A198" s="60" t="s">
        <v>881</v>
      </c>
      <c r="B198" s="60">
        <v>15.0</v>
      </c>
      <c r="C198" s="61">
        <f>CAMPAGNE!F30</f>
        <v>46323</v>
      </c>
      <c r="D198" s="62">
        <v>0.75</v>
      </c>
      <c r="E198" s="63">
        <f>CAMPAGNE!H30</f>
        <v>46339</v>
      </c>
      <c r="F198" s="60" t="str">
        <f t="shared" si="1"/>
        <v>Venerdì</v>
      </c>
      <c r="G198" s="62">
        <v>0.8333333333333334</v>
      </c>
      <c r="H198" s="60" t="s">
        <v>128</v>
      </c>
      <c r="I198" s="60" t="s">
        <v>131</v>
      </c>
      <c r="J198" s="42" t="s">
        <v>483</v>
      </c>
      <c r="K198" s="60" t="s">
        <v>256</v>
      </c>
      <c r="L198" s="42" t="s">
        <v>574</v>
      </c>
      <c r="M198" s="42" t="s">
        <v>135</v>
      </c>
      <c r="N198" s="42" t="s">
        <v>664</v>
      </c>
      <c r="O198" s="42" t="s">
        <v>665</v>
      </c>
      <c r="P198" s="42" t="str">
        <f>TESTI!E30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Amazon: https://www.amazon.it/dp/B0GZJR8FSJ
#DiariDiPelle #Legami #LeRedini #Salsa #NarrativaItaliana</v>
      </c>
      <c r="Q198" s="64" t="str">
        <f>TESTI!J30</f>
        <v>https://diaridipelle.it/legami.html</v>
      </c>
      <c r="R198" s="42" t="s">
        <v>139</v>
      </c>
      <c r="S198" s="60" t="s">
        <v>140</v>
      </c>
      <c r="T198" s="60" t="s">
        <v>124</v>
      </c>
      <c r="U198" s="42" t="s">
        <v>142</v>
      </c>
      <c r="V198" s="42" t="str">
        <f t="shared" si="2"/>
        <v/>
      </c>
    </row>
    <row r="199" ht="78.0" customHeight="1">
      <c r="A199" s="60" t="s">
        <v>882</v>
      </c>
      <c r="B199" s="60">
        <v>15.0</v>
      </c>
      <c r="C199" s="61">
        <f>CAMPAGNE!F30</f>
        <v>46323</v>
      </c>
      <c r="D199" s="62">
        <v>0.75</v>
      </c>
      <c r="E199" s="63">
        <f>CAMPAGNE!H30</f>
        <v>46339</v>
      </c>
      <c r="F199" s="60" t="str">
        <f t="shared" si="1"/>
        <v>Venerdì</v>
      </c>
      <c r="G199" s="62">
        <v>0.8333333333333334</v>
      </c>
      <c r="H199" s="60" t="s">
        <v>152</v>
      </c>
      <c r="I199" s="60" t="s">
        <v>131</v>
      </c>
      <c r="J199" s="42" t="s">
        <v>483</v>
      </c>
      <c r="K199" s="60" t="s">
        <v>256</v>
      </c>
      <c r="L199" s="42" t="s">
        <v>574</v>
      </c>
      <c r="M199" s="42" t="s">
        <v>172</v>
      </c>
      <c r="N199" s="42" t="s">
        <v>664</v>
      </c>
      <c r="O199" s="42" t="s">
        <v>665</v>
      </c>
      <c r="P199" s="42" t="str">
        <f>TESTI!F30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https://diaridipelle.it/legami.html
🛒 Amazon: https://www.amazon.it/dp/B0GZJR8FSJ
#DiariDiPelle #Legami #LeRedini #Salsa #NarrativaItaliana</v>
      </c>
      <c r="Q199" s="64" t="str">
        <f>TESTI!J30</f>
        <v>https://diaridipelle.it/legami.html</v>
      </c>
      <c r="R199" s="42" t="s">
        <v>188</v>
      </c>
      <c r="S199" s="60" t="s">
        <v>140</v>
      </c>
      <c r="T199" s="60" t="s">
        <v>124</v>
      </c>
      <c r="U199" s="42" t="s">
        <v>193</v>
      </c>
      <c r="V199" s="42" t="str">
        <f t="shared" si="2"/>
        <v/>
      </c>
    </row>
    <row r="200" ht="78.0" customHeight="1">
      <c r="A200" s="60" t="s">
        <v>883</v>
      </c>
      <c r="B200" s="60">
        <v>15.0</v>
      </c>
      <c r="C200" s="61">
        <f>CAMPAGNE!G30</f>
        <v>46337</v>
      </c>
      <c r="D200" s="62">
        <v>0.75</v>
      </c>
      <c r="E200" s="63">
        <f>CAMPAGNE!H30</f>
        <v>46339</v>
      </c>
      <c r="F200" s="60" t="str">
        <f t="shared" si="1"/>
        <v>Venerdì</v>
      </c>
      <c r="G200" s="62">
        <v>0.8333333333333334</v>
      </c>
      <c r="H200" s="60" t="s">
        <v>213</v>
      </c>
      <c r="I200" s="60" t="s">
        <v>111</v>
      </c>
      <c r="J200" s="42" t="s">
        <v>483</v>
      </c>
      <c r="K200" s="60" t="s">
        <v>256</v>
      </c>
      <c r="L200" s="42" t="s">
        <v>574</v>
      </c>
      <c r="M200" s="42" t="s">
        <v>223</v>
      </c>
      <c r="N200" s="42" t="s">
        <v>664</v>
      </c>
      <c r="O200" s="42" t="s">
        <v>665</v>
      </c>
      <c r="P200" s="42" t="str">
        <f>TESTI!G30</f>
        <v>Tra salsa, gelosie e desiderio, Mariella vuole sentirsi finalmente scelta.
«Le redini» da Legami.
Scopri il libro dal link in bio.
#DiariDiPelle #Legami #BookTokItalia #LibriTikTok</v>
      </c>
      <c r="Q200" s="64" t="str">
        <f>TESTI!J30</f>
        <v>https://diaridipelle.it/legami.html</v>
      </c>
      <c r="R200" s="42" t="s">
        <v>138</v>
      </c>
      <c r="S200" s="60" t="s">
        <v>231</v>
      </c>
      <c r="T200" s="60" t="s">
        <v>124</v>
      </c>
      <c r="U200" s="42" t="s">
        <v>234</v>
      </c>
      <c r="V200" s="42" t="str">
        <f t="shared" si="2"/>
        <v/>
      </c>
    </row>
    <row r="201" ht="78.0" customHeight="1">
      <c r="A201" s="60" t="s">
        <v>884</v>
      </c>
      <c r="B201" s="60">
        <v>15.0</v>
      </c>
      <c r="C201" s="61">
        <f>CAMPAGNE!I30</f>
        <v>46340</v>
      </c>
      <c r="D201" s="62">
        <v>0.4965277777777778</v>
      </c>
      <c r="E201" s="63">
        <f>CAMPAGNE!I30</f>
        <v>46340</v>
      </c>
      <c r="F201" s="60" t="str">
        <f t="shared" si="1"/>
        <v>Sabato</v>
      </c>
      <c r="G201" s="62">
        <v>0.5</v>
      </c>
      <c r="H201" s="60" t="s">
        <v>128</v>
      </c>
      <c r="I201" s="60" t="s">
        <v>170</v>
      </c>
      <c r="J201" s="42" t="s">
        <v>483</v>
      </c>
      <c r="K201" s="60" t="s">
        <v>256</v>
      </c>
      <c r="L201" s="42" t="s">
        <v>574</v>
      </c>
      <c r="M201" s="42" t="s">
        <v>252</v>
      </c>
      <c r="N201" s="42" t="s">
        <v>666</v>
      </c>
      <c r="O201" s="42" t="s">
        <v>885</v>
      </c>
      <c r="P201" s="42" t="str">
        <f>TESTI!N30</f>
        <v>Tocca SCOPRI IL LIBRO e scegli cartaceo o Kindle.</v>
      </c>
      <c r="Q201" s="64" t="str">
        <f>TESTI!H30</f>
        <v>https://diaridipelle.it/legami.html?utm_source=instagram&amp;utm_medium=story&amp;utm_campaign=legami&amp;utm_content=ch06</v>
      </c>
      <c r="R201" s="42" t="s">
        <v>139</v>
      </c>
      <c r="S201" s="60" t="s">
        <v>79</v>
      </c>
      <c r="T201" s="60" t="s">
        <v>124</v>
      </c>
      <c r="U201" s="42" t="s">
        <v>262</v>
      </c>
      <c r="V201" s="42" t="str">
        <f t="shared" si="2"/>
        <v/>
      </c>
    </row>
    <row r="202" ht="78.0" customHeight="1">
      <c r="A202" s="60" t="s">
        <v>886</v>
      </c>
      <c r="B202" s="60">
        <v>15.0</v>
      </c>
      <c r="C202" s="61">
        <f>CAMPAGNE!F30</f>
        <v>46323</v>
      </c>
      <c r="D202" s="62">
        <v>0.75</v>
      </c>
      <c r="E202" s="63">
        <f>CAMPAGNE!I30</f>
        <v>46340</v>
      </c>
      <c r="F202" s="60" t="str">
        <f t="shared" si="1"/>
        <v>Sabato</v>
      </c>
      <c r="G202" s="62">
        <v>0.5</v>
      </c>
      <c r="H202" s="60" t="s">
        <v>152</v>
      </c>
      <c r="I202" s="60" t="s">
        <v>170</v>
      </c>
      <c r="J202" s="42" t="s">
        <v>483</v>
      </c>
      <c r="K202" s="60" t="s">
        <v>256</v>
      </c>
      <c r="L202" s="42" t="s">
        <v>574</v>
      </c>
      <c r="M202" s="42" t="s">
        <v>285</v>
      </c>
      <c r="N202" s="42" t="s">
        <v>666</v>
      </c>
      <c r="O202" s="42" t="s">
        <v>885</v>
      </c>
      <c r="P202" s="42" t="str">
        <f>TESTI!N30</f>
        <v>Tocca SCOPRI IL LIBRO e scegli cartaceo o Kindle.</v>
      </c>
      <c r="Q202" s="64" t="str">
        <f>TESTI!I30</f>
        <v>https://diaridipelle.it/legami.html?utm_source=facebook&amp;utm_medium=story&amp;utm_campaign=legami&amp;utm_content=ch06</v>
      </c>
      <c r="R202" s="42" t="s">
        <v>188</v>
      </c>
      <c r="S202" s="60" t="s">
        <v>140</v>
      </c>
      <c r="T202" s="60" t="s">
        <v>124</v>
      </c>
      <c r="U202" s="42" t="s">
        <v>294</v>
      </c>
      <c r="V202" s="42" t="str">
        <f t="shared" si="2"/>
        <v/>
      </c>
    </row>
    <row r="203" ht="78.0" customHeight="1">
      <c r="A203" s="60" t="s">
        <v>887</v>
      </c>
      <c r="B203" s="60">
        <v>15.0</v>
      </c>
      <c r="C203" s="61">
        <f>CAMPAGNE!F30</f>
        <v>46323</v>
      </c>
      <c r="D203" s="62">
        <v>0.75</v>
      </c>
      <c r="E203" s="63">
        <f>CAMPAGNE!J30</f>
        <v>46341</v>
      </c>
      <c r="F203" s="60" t="str">
        <f t="shared" si="1"/>
        <v>Domenica</v>
      </c>
      <c r="G203" s="62">
        <v>0.8333333333333334</v>
      </c>
      <c r="H203" s="60" t="s">
        <v>128</v>
      </c>
      <c r="I203" s="60" t="s">
        <v>119</v>
      </c>
      <c r="J203" s="42" t="s">
        <v>483</v>
      </c>
      <c r="K203" s="60" t="s">
        <v>256</v>
      </c>
      <c r="L203" s="42" t="s">
        <v>574</v>
      </c>
      <c r="M203" s="42" t="s">
        <v>313</v>
      </c>
      <c r="N203" s="42" t="s">
        <v>667</v>
      </c>
      <c r="O203" s="42" t="s">
        <v>316</v>
      </c>
      <c r="P203" s="42" t="str">
        <f>TESTI!E30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Amazon: https://www.amazon.it/dp/B0GZJR8FSJ
#DiariDiPelle #Legami #LeRedini #Salsa #NarrativaItaliana</v>
      </c>
      <c r="Q203" s="64" t="str">
        <f>TESTI!J30</f>
        <v>https://diaridipelle.it/legami.html</v>
      </c>
      <c r="R203" s="42" t="s">
        <v>139</v>
      </c>
      <c r="S203" s="60" t="s">
        <v>140</v>
      </c>
      <c r="T203" s="60" t="s">
        <v>124</v>
      </c>
      <c r="U203" s="42" t="s">
        <v>328</v>
      </c>
      <c r="V203" s="42" t="str">
        <f t="shared" si="2"/>
        <v/>
      </c>
    </row>
    <row r="204" ht="78.0" customHeight="1">
      <c r="A204" s="60" t="s">
        <v>888</v>
      </c>
      <c r="B204" s="60">
        <v>15.0</v>
      </c>
      <c r="C204" s="61">
        <f>CAMPAGNE!F30</f>
        <v>46323</v>
      </c>
      <c r="D204" s="62">
        <v>0.75</v>
      </c>
      <c r="E204" s="63">
        <f>CAMPAGNE!J30</f>
        <v>46341</v>
      </c>
      <c r="F204" s="60" t="str">
        <f t="shared" si="1"/>
        <v>Domenica</v>
      </c>
      <c r="G204" s="62">
        <v>0.8333333333333334</v>
      </c>
      <c r="H204" s="60" t="s">
        <v>152</v>
      </c>
      <c r="I204" s="60" t="s">
        <v>119</v>
      </c>
      <c r="J204" s="42" t="s">
        <v>483</v>
      </c>
      <c r="K204" s="60" t="s">
        <v>256</v>
      </c>
      <c r="L204" s="42" t="s">
        <v>574</v>
      </c>
      <c r="M204" s="42" t="s">
        <v>313</v>
      </c>
      <c r="N204" s="42" t="s">
        <v>667</v>
      </c>
      <c r="O204" s="42" t="s">
        <v>316</v>
      </c>
      <c r="P204" s="42" t="str">
        <f>TESTI!F30</f>
        <v>Tra salsa, gelosie e desiderio, Mariella vuole sentirsi finalmente scelta.
Per una notte le redini sembrano cambiare mano. Ma Roberto continua a occupare il centro anche quando non è nella stanza, e il comando si rivela un'illusione: non guida chi trattiene, ma chi l'altro decide ancora di seguire.
Le redini racconta la differenza tra possedere una scena e avere davvero un posto nella vita di qualcuno.
Leggi Legămi dal link nel profilo.
🌐 https://diaridipelle.it/legami.html
🛒 Amazon: https://www.amazon.it/dp/B0GZJR8FSJ
#DiariDiPelle #Legami #LeRedini #Salsa #NarrativaItaliana</v>
      </c>
      <c r="Q204" s="64" t="str">
        <f>TESTI!J30</f>
        <v>https://diaridipelle.it/legami.html</v>
      </c>
      <c r="R204" s="42" t="s">
        <v>188</v>
      </c>
      <c r="S204" s="60" t="s">
        <v>140</v>
      </c>
      <c r="T204" s="60" t="s">
        <v>124</v>
      </c>
      <c r="U204" s="42" t="s">
        <v>351</v>
      </c>
      <c r="V204" s="42" t="str">
        <f t="shared" si="2"/>
        <v/>
      </c>
    </row>
    <row r="205" ht="78.0" customHeight="1">
      <c r="A205" s="60" t="s">
        <v>889</v>
      </c>
      <c r="B205" s="60">
        <v>15.0</v>
      </c>
      <c r="C205" s="61">
        <f>CAMPAGNE!F31</f>
        <v>46323</v>
      </c>
      <c r="D205" s="62">
        <v>0.75</v>
      </c>
      <c r="E205" s="63">
        <f>CAMPAGNE!H31</f>
        <v>46342</v>
      </c>
      <c r="F205" s="60" t="str">
        <f t="shared" si="1"/>
        <v>Lunedì</v>
      </c>
      <c r="G205" s="62">
        <v>0.8333333333333334</v>
      </c>
      <c r="H205" s="60" t="s">
        <v>128</v>
      </c>
      <c r="I205" s="60" t="s">
        <v>131</v>
      </c>
      <c r="J205" s="42" t="s">
        <v>483</v>
      </c>
      <c r="K205" s="60" t="s">
        <v>271</v>
      </c>
      <c r="L205" s="42" t="s">
        <v>591</v>
      </c>
      <c r="M205" s="42" t="s">
        <v>135</v>
      </c>
      <c r="N205" s="42" t="s">
        <v>669</v>
      </c>
      <c r="O205" s="42" t="s">
        <v>670</v>
      </c>
      <c r="P205" s="42" t="str">
        <f>TESTI!E31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Amazon: https://www.amazon.it/dp/B0GZJR8FSJ
#DiariDiPelle #Legami #LaCatena #Verona #NarrativaContemporanea</v>
      </c>
      <c r="Q205" s="64" t="str">
        <f>TESTI!J31</f>
        <v>https://diaridipelle.it/legami.html</v>
      </c>
      <c r="R205" s="42" t="s">
        <v>139</v>
      </c>
      <c r="S205" s="60" t="s">
        <v>140</v>
      </c>
      <c r="T205" s="60" t="s">
        <v>124</v>
      </c>
      <c r="U205" s="42" t="s">
        <v>142</v>
      </c>
      <c r="V205" s="42" t="str">
        <f t="shared" si="2"/>
        <v/>
      </c>
    </row>
    <row r="206" ht="78.0" customHeight="1">
      <c r="A206" s="60" t="s">
        <v>890</v>
      </c>
      <c r="B206" s="60">
        <v>15.0</v>
      </c>
      <c r="C206" s="61">
        <f>CAMPAGNE!F31</f>
        <v>46323</v>
      </c>
      <c r="D206" s="62">
        <v>0.75</v>
      </c>
      <c r="E206" s="63">
        <f>CAMPAGNE!H31</f>
        <v>46342</v>
      </c>
      <c r="F206" s="60" t="str">
        <f t="shared" si="1"/>
        <v>Lunedì</v>
      </c>
      <c r="G206" s="62">
        <v>0.8333333333333334</v>
      </c>
      <c r="H206" s="60" t="s">
        <v>152</v>
      </c>
      <c r="I206" s="60" t="s">
        <v>131</v>
      </c>
      <c r="J206" s="42" t="s">
        <v>483</v>
      </c>
      <c r="K206" s="60" t="s">
        <v>271</v>
      </c>
      <c r="L206" s="42" t="s">
        <v>591</v>
      </c>
      <c r="M206" s="42" t="s">
        <v>172</v>
      </c>
      <c r="N206" s="42" t="s">
        <v>669</v>
      </c>
      <c r="O206" s="42" t="s">
        <v>670</v>
      </c>
      <c r="P206" s="42" t="str">
        <f>TESTI!F31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https://diaridipelle.it/legami.html
🛒 Amazon: https://www.amazon.it/dp/B0GZJR8FSJ
#DiariDiPelle #Legami #LaCatena #Verona #NarrativaContemporanea</v>
      </c>
      <c r="Q206" s="64" t="str">
        <f>TESTI!J31</f>
        <v>https://diaridipelle.it/legami.html</v>
      </c>
      <c r="R206" s="42" t="s">
        <v>188</v>
      </c>
      <c r="S206" s="60" t="s">
        <v>140</v>
      </c>
      <c r="T206" s="60" t="s">
        <v>124</v>
      </c>
      <c r="U206" s="42" t="s">
        <v>193</v>
      </c>
      <c r="V206" s="42" t="str">
        <f t="shared" si="2"/>
        <v/>
      </c>
    </row>
    <row r="207" ht="78.0" customHeight="1">
      <c r="A207" s="60" t="s">
        <v>891</v>
      </c>
      <c r="B207" s="60">
        <v>15.0</v>
      </c>
      <c r="C207" s="61">
        <f>CAMPAGNE!G31</f>
        <v>46337</v>
      </c>
      <c r="D207" s="62">
        <v>0.75</v>
      </c>
      <c r="E207" s="63">
        <f>CAMPAGNE!H31</f>
        <v>46342</v>
      </c>
      <c r="F207" s="60" t="str">
        <f t="shared" si="1"/>
        <v>Lunedì</v>
      </c>
      <c r="G207" s="62">
        <v>0.8333333333333334</v>
      </c>
      <c r="H207" s="60" t="s">
        <v>213</v>
      </c>
      <c r="I207" s="60" t="s">
        <v>111</v>
      </c>
      <c r="J207" s="42" t="s">
        <v>483</v>
      </c>
      <c r="K207" s="60" t="s">
        <v>271</v>
      </c>
      <c r="L207" s="42" t="s">
        <v>591</v>
      </c>
      <c r="M207" s="42" t="s">
        <v>223</v>
      </c>
      <c r="N207" s="42" t="s">
        <v>669</v>
      </c>
      <c r="O207" s="42" t="s">
        <v>670</v>
      </c>
      <c r="P207" s="42" t="str">
        <f>TESTI!G31</f>
        <v>Verona doveva essere una sorpresa romantica. Una stanza d'albergo trasforma invece il gioco in paura, corsa e vergogna.
«La catena» da Legami.
Scopri il libro dal link in bio.
#DiariDiPelle #Legami #BookTokItalia #LibriTikTok</v>
      </c>
      <c r="Q207" s="64" t="str">
        <f>TESTI!J31</f>
        <v>https://diaridipelle.it/legami.html</v>
      </c>
      <c r="R207" s="42" t="s">
        <v>138</v>
      </c>
      <c r="S207" s="60" t="s">
        <v>231</v>
      </c>
      <c r="T207" s="60" t="s">
        <v>124</v>
      </c>
      <c r="U207" s="42" t="s">
        <v>234</v>
      </c>
      <c r="V207" s="42" t="str">
        <f t="shared" si="2"/>
        <v/>
      </c>
    </row>
    <row r="208" ht="78.0" customHeight="1">
      <c r="A208" s="60" t="s">
        <v>892</v>
      </c>
      <c r="B208" s="60">
        <v>15.0</v>
      </c>
      <c r="C208" s="61">
        <f>CAMPAGNE!I31</f>
        <v>46343</v>
      </c>
      <c r="D208" s="62">
        <v>0.4965277777777778</v>
      </c>
      <c r="E208" s="63">
        <f>CAMPAGNE!I31</f>
        <v>46343</v>
      </c>
      <c r="F208" s="60" t="str">
        <f t="shared" si="1"/>
        <v>Martedì</v>
      </c>
      <c r="G208" s="62">
        <v>0.5</v>
      </c>
      <c r="H208" s="60" t="s">
        <v>128</v>
      </c>
      <c r="I208" s="60" t="s">
        <v>170</v>
      </c>
      <c r="J208" s="42" t="s">
        <v>483</v>
      </c>
      <c r="K208" s="60" t="s">
        <v>271</v>
      </c>
      <c r="L208" s="42" t="s">
        <v>591</v>
      </c>
      <c r="M208" s="42" t="s">
        <v>252</v>
      </c>
      <c r="N208" s="42" t="s">
        <v>671</v>
      </c>
      <c r="O208" s="42" t="s">
        <v>893</v>
      </c>
      <c r="P208" s="42" t="str">
        <f>TESTI!N31</f>
        <v>Tocca SCOPRI IL LIBRO e scegli cartaceo o Kindle.</v>
      </c>
      <c r="Q208" s="64" t="str">
        <f>TESTI!H31</f>
        <v>https://diaridipelle.it/legami.html?utm_source=instagram&amp;utm_medium=story&amp;utm_campaign=legami&amp;utm_content=ch07</v>
      </c>
      <c r="R208" s="42" t="s">
        <v>139</v>
      </c>
      <c r="S208" s="60" t="s">
        <v>79</v>
      </c>
      <c r="T208" s="60" t="s">
        <v>124</v>
      </c>
      <c r="U208" s="42" t="s">
        <v>262</v>
      </c>
      <c r="V208" s="42" t="str">
        <f t="shared" si="2"/>
        <v/>
      </c>
    </row>
    <row r="209" ht="78.0" customHeight="1">
      <c r="A209" s="60" t="s">
        <v>894</v>
      </c>
      <c r="B209" s="60">
        <v>15.0</v>
      </c>
      <c r="C209" s="61">
        <f>CAMPAGNE!F31</f>
        <v>46323</v>
      </c>
      <c r="D209" s="62">
        <v>0.75</v>
      </c>
      <c r="E209" s="63">
        <f>CAMPAGNE!I31</f>
        <v>46343</v>
      </c>
      <c r="F209" s="60" t="str">
        <f t="shared" si="1"/>
        <v>Martedì</v>
      </c>
      <c r="G209" s="62">
        <v>0.5</v>
      </c>
      <c r="H209" s="60" t="s">
        <v>152</v>
      </c>
      <c r="I209" s="60" t="s">
        <v>170</v>
      </c>
      <c r="J209" s="42" t="s">
        <v>483</v>
      </c>
      <c r="K209" s="60" t="s">
        <v>271</v>
      </c>
      <c r="L209" s="42" t="s">
        <v>591</v>
      </c>
      <c r="M209" s="42" t="s">
        <v>285</v>
      </c>
      <c r="N209" s="42" t="s">
        <v>671</v>
      </c>
      <c r="O209" s="42" t="s">
        <v>893</v>
      </c>
      <c r="P209" s="42" t="str">
        <f>TESTI!N31</f>
        <v>Tocca SCOPRI IL LIBRO e scegli cartaceo o Kindle.</v>
      </c>
      <c r="Q209" s="64" t="str">
        <f>TESTI!I31</f>
        <v>https://diaridipelle.it/legami.html?utm_source=facebook&amp;utm_medium=story&amp;utm_campaign=legami&amp;utm_content=ch07</v>
      </c>
      <c r="R209" s="42" t="s">
        <v>188</v>
      </c>
      <c r="S209" s="60" t="s">
        <v>140</v>
      </c>
      <c r="T209" s="60" t="s">
        <v>124</v>
      </c>
      <c r="U209" s="42" t="s">
        <v>294</v>
      </c>
      <c r="V209" s="42" t="str">
        <f t="shared" si="2"/>
        <v/>
      </c>
    </row>
    <row r="210" ht="78.0" customHeight="1">
      <c r="A210" s="60" t="s">
        <v>895</v>
      </c>
      <c r="B210" s="60">
        <v>15.0</v>
      </c>
      <c r="C210" s="61">
        <f>CAMPAGNE!F31</f>
        <v>46323</v>
      </c>
      <c r="D210" s="62">
        <v>0.75</v>
      </c>
      <c r="E210" s="63">
        <f>CAMPAGNE!J31</f>
        <v>46344</v>
      </c>
      <c r="F210" s="60" t="str">
        <f t="shared" si="1"/>
        <v>Mercoledì</v>
      </c>
      <c r="G210" s="62">
        <v>0.4583333333333333</v>
      </c>
      <c r="H210" s="60" t="s">
        <v>128</v>
      </c>
      <c r="I210" s="60" t="s">
        <v>119</v>
      </c>
      <c r="J210" s="42" t="s">
        <v>483</v>
      </c>
      <c r="K210" s="60" t="s">
        <v>271</v>
      </c>
      <c r="L210" s="42" t="s">
        <v>591</v>
      </c>
      <c r="M210" s="42" t="s">
        <v>313</v>
      </c>
      <c r="N210" s="42" t="s">
        <v>672</v>
      </c>
      <c r="O210" s="42" t="s">
        <v>316</v>
      </c>
      <c r="P210" s="42" t="str">
        <f>TESTI!E31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Amazon: https://www.amazon.it/dp/B0GZJR8FSJ
#DiariDiPelle #Legami #LaCatena #Verona #NarrativaContemporanea</v>
      </c>
      <c r="Q210" s="64" t="str">
        <f>TESTI!J31</f>
        <v>https://diaridipelle.it/legami.html</v>
      </c>
      <c r="R210" s="42" t="s">
        <v>139</v>
      </c>
      <c r="S210" s="60" t="s">
        <v>140</v>
      </c>
      <c r="T210" s="60" t="s">
        <v>124</v>
      </c>
      <c r="U210" s="42" t="s">
        <v>328</v>
      </c>
      <c r="V210" s="42" t="str">
        <f t="shared" si="2"/>
        <v/>
      </c>
    </row>
    <row r="211" ht="78.0" customHeight="1">
      <c r="A211" s="60" t="s">
        <v>896</v>
      </c>
      <c r="B211" s="60">
        <v>15.0</v>
      </c>
      <c r="C211" s="61">
        <f>CAMPAGNE!F31</f>
        <v>46323</v>
      </c>
      <c r="D211" s="62">
        <v>0.75</v>
      </c>
      <c r="E211" s="63">
        <f>CAMPAGNE!J31</f>
        <v>46344</v>
      </c>
      <c r="F211" s="60" t="str">
        <f t="shared" si="1"/>
        <v>Mercoledì</v>
      </c>
      <c r="G211" s="62">
        <v>0.4583333333333333</v>
      </c>
      <c r="H211" s="60" t="s">
        <v>152</v>
      </c>
      <c r="I211" s="60" t="s">
        <v>119</v>
      </c>
      <c r="J211" s="42" t="s">
        <v>483</v>
      </c>
      <c r="K211" s="60" t="s">
        <v>271</v>
      </c>
      <c r="L211" s="42" t="s">
        <v>591</v>
      </c>
      <c r="M211" s="42" t="s">
        <v>313</v>
      </c>
      <c r="N211" s="42" t="s">
        <v>672</v>
      </c>
      <c r="O211" s="42" t="s">
        <v>316</v>
      </c>
      <c r="P211" s="42" t="str">
        <f>TESTI!F31</f>
        <v>Verona doveva essere una sorpresa romantica. Una stanza d'albergo trasforma invece il gioco in paura, corsa e vergogna.
Davanti all'Arena, una croce verde diventa il confine tra intimità e giudizio. Molto tempo dopo, quando Ella ritorna sotto casa, la catena mostra la sua vera forza: aveva continuato a tirare anche durante l'assenza.
La catena è il settimo capitolo di Legămi.
Scopri il libro dal link nel profilo.
🌐 https://diaridipelle.it/legami.html
🛒 Amazon: https://www.amazon.it/dp/B0GZJR8FSJ
#DiariDiPelle #Legami #LaCatena #Verona #NarrativaContemporanea</v>
      </c>
      <c r="Q211" s="64" t="str">
        <f>TESTI!J31</f>
        <v>https://diaridipelle.it/legami.html</v>
      </c>
      <c r="R211" s="42" t="s">
        <v>188</v>
      </c>
      <c r="S211" s="60" t="s">
        <v>140</v>
      </c>
      <c r="T211" s="60" t="s">
        <v>124</v>
      </c>
      <c r="U211" s="42" t="s">
        <v>351</v>
      </c>
      <c r="V211" s="42" t="str">
        <f t="shared" si="2"/>
        <v/>
      </c>
    </row>
    <row r="212" ht="78.0" customHeight="1">
      <c r="A212" s="60" t="s">
        <v>897</v>
      </c>
      <c r="B212" s="60">
        <v>16.0</v>
      </c>
      <c r="C212" s="61">
        <f>CAMPAGNE!F32</f>
        <v>46323</v>
      </c>
      <c r="D212" s="62">
        <v>0.75</v>
      </c>
      <c r="E212" s="63">
        <f>CAMPAGNE!H32</f>
        <v>46346</v>
      </c>
      <c r="F212" s="60" t="str">
        <f t="shared" si="1"/>
        <v>Venerdì</v>
      </c>
      <c r="G212" s="62">
        <v>0.8333333333333334</v>
      </c>
      <c r="H212" s="60" t="s">
        <v>128</v>
      </c>
      <c r="I212" s="60" t="s">
        <v>131</v>
      </c>
      <c r="J212" s="42" t="s">
        <v>483</v>
      </c>
      <c r="K212" s="60" t="s">
        <v>281</v>
      </c>
      <c r="L212" s="42" t="s">
        <v>604</v>
      </c>
      <c r="M212" s="42" t="s">
        <v>135</v>
      </c>
      <c r="N212" s="42" t="s">
        <v>673</v>
      </c>
      <c r="O212" s="42" t="s">
        <v>674</v>
      </c>
      <c r="P212" s="42" t="str">
        <f>TESTI!E32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Amazon: https://www.amazon.it/dp/B0GZJR8FSJ
#DiariDiPelle #Legami #LaChiaveSbagliata #Puglia #NarrativaPsicologica</v>
      </c>
      <c r="Q212" s="64" t="str">
        <f>TESTI!J32</f>
        <v>https://diaridipelle.it/legami.html</v>
      </c>
      <c r="R212" s="42" t="s">
        <v>139</v>
      </c>
      <c r="S212" s="60" t="s">
        <v>140</v>
      </c>
      <c r="T212" s="60" t="s">
        <v>124</v>
      </c>
      <c r="U212" s="42" t="s">
        <v>142</v>
      </c>
      <c r="V212" s="42" t="str">
        <f t="shared" si="2"/>
        <v/>
      </c>
    </row>
    <row r="213" ht="78.0" customHeight="1">
      <c r="A213" s="60" t="s">
        <v>898</v>
      </c>
      <c r="B213" s="60">
        <v>16.0</v>
      </c>
      <c r="C213" s="61">
        <f>CAMPAGNE!F32</f>
        <v>46323</v>
      </c>
      <c r="D213" s="62">
        <v>0.75</v>
      </c>
      <c r="E213" s="63">
        <f>CAMPAGNE!H32</f>
        <v>46346</v>
      </c>
      <c r="F213" s="60" t="str">
        <f t="shared" si="1"/>
        <v>Venerdì</v>
      </c>
      <c r="G213" s="62">
        <v>0.8333333333333334</v>
      </c>
      <c r="H213" s="60" t="s">
        <v>152</v>
      </c>
      <c r="I213" s="60" t="s">
        <v>131</v>
      </c>
      <c r="J213" s="42" t="s">
        <v>483</v>
      </c>
      <c r="K213" s="60" t="s">
        <v>281</v>
      </c>
      <c r="L213" s="42" t="s">
        <v>604</v>
      </c>
      <c r="M213" s="42" t="s">
        <v>172</v>
      </c>
      <c r="N213" s="42" t="s">
        <v>673</v>
      </c>
      <c r="O213" s="42" t="s">
        <v>674</v>
      </c>
      <c r="P213" s="42" t="str">
        <f>TESTI!F32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https://diaridipelle.it/legami.html
🛒 Amazon: https://www.amazon.it/dp/B0GZJR8FSJ
#DiariDiPelle #Legami #LaChiaveSbagliata #Puglia #NarrativaPsicologica</v>
      </c>
      <c r="Q213" s="64" t="str">
        <f>TESTI!J32</f>
        <v>https://diaridipelle.it/legami.html</v>
      </c>
      <c r="R213" s="42" t="s">
        <v>188</v>
      </c>
      <c r="S213" s="60" t="s">
        <v>140</v>
      </c>
      <c r="T213" s="60" t="s">
        <v>124</v>
      </c>
      <c r="U213" s="42" t="s">
        <v>193</v>
      </c>
      <c r="V213" s="42" t="str">
        <f t="shared" si="2"/>
        <v/>
      </c>
    </row>
    <row r="214" ht="78.0" customHeight="1">
      <c r="A214" s="60" t="s">
        <v>899</v>
      </c>
      <c r="B214" s="60">
        <v>16.0</v>
      </c>
      <c r="C214" s="61">
        <f>CAMPAGNE!G32</f>
        <v>46344</v>
      </c>
      <c r="D214" s="62">
        <v>0.75</v>
      </c>
      <c r="E214" s="63">
        <f>CAMPAGNE!H32</f>
        <v>46346</v>
      </c>
      <c r="F214" s="60" t="str">
        <f t="shared" si="1"/>
        <v>Venerdì</v>
      </c>
      <c r="G214" s="62">
        <v>0.8333333333333334</v>
      </c>
      <c r="H214" s="60" t="s">
        <v>213</v>
      </c>
      <c r="I214" s="60" t="s">
        <v>111</v>
      </c>
      <c r="J214" s="42" t="s">
        <v>483</v>
      </c>
      <c r="K214" s="60" t="s">
        <v>281</v>
      </c>
      <c r="L214" s="42" t="s">
        <v>604</v>
      </c>
      <c r="M214" s="42" t="s">
        <v>223</v>
      </c>
      <c r="N214" s="42" t="s">
        <v>673</v>
      </c>
      <c r="O214" s="42" t="s">
        <v>674</v>
      </c>
      <c r="P214" s="42" t="str">
        <f>TESTI!G32</f>
        <v>Ella riceve una chiave di casa, ma Bologna non riesce a diventare davvero casa per lei.
«La chiave sbagliata» da Legami.
Scopri il libro dal link in bio.
#DiariDiPelle #Legami #BookTokItalia #LibriTikTok</v>
      </c>
      <c r="Q214" s="64" t="str">
        <f>TESTI!J32</f>
        <v>https://diaridipelle.it/legami.html</v>
      </c>
      <c r="R214" s="42" t="s">
        <v>138</v>
      </c>
      <c r="S214" s="60" t="s">
        <v>231</v>
      </c>
      <c r="T214" s="60" t="s">
        <v>124</v>
      </c>
      <c r="U214" s="42" t="s">
        <v>234</v>
      </c>
      <c r="V214" s="42" t="str">
        <f t="shared" si="2"/>
        <v/>
      </c>
    </row>
    <row r="215" ht="78.0" customHeight="1">
      <c r="A215" s="60" t="s">
        <v>900</v>
      </c>
      <c r="B215" s="60">
        <v>16.0</v>
      </c>
      <c r="C215" s="61">
        <f>CAMPAGNE!I32</f>
        <v>46347</v>
      </c>
      <c r="D215" s="62">
        <v>0.4965277777777778</v>
      </c>
      <c r="E215" s="63">
        <f>CAMPAGNE!I32</f>
        <v>46347</v>
      </c>
      <c r="F215" s="60" t="str">
        <f t="shared" si="1"/>
        <v>Sabato</v>
      </c>
      <c r="G215" s="62">
        <v>0.5</v>
      </c>
      <c r="H215" s="60" t="s">
        <v>128</v>
      </c>
      <c r="I215" s="60" t="s">
        <v>170</v>
      </c>
      <c r="J215" s="42" t="s">
        <v>483</v>
      </c>
      <c r="K215" s="60" t="s">
        <v>281</v>
      </c>
      <c r="L215" s="42" t="s">
        <v>604</v>
      </c>
      <c r="M215" s="42" t="s">
        <v>252</v>
      </c>
      <c r="N215" s="42" t="s">
        <v>675</v>
      </c>
      <c r="O215" s="42" t="s">
        <v>901</v>
      </c>
      <c r="P215" s="42" t="str">
        <f>TESTI!N32</f>
        <v>Tocca SCOPRI IL LIBRO e scegli cartaceo o Kindle.</v>
      </c>
      <c r="Q215" s="64" t="str">
        <f>TESTI!H32</f>
        <v>https://diaridipelle.it/legami.html?utm_source=instagram&amp;utm_medium=story&amp;utm_campaign=legami&amp;utm_content=ch08</v>
      </c>
      <c r="R215" s="42" t="s">
        <v>139</v>
      </c>
      <c r="S215" s="60" t="s">
        <v>79</v>
      </c>
      <c r="T215" s="60" t="s">
        <v>124</v>
      </c>
      <c r="U215" s="42" t="s">
        <v>262</v>
      </c>
      <c r="V215" s="42" t="str">
        <f t="shared" si="2"/>
        <v/>
      </c>
    </row>
    <row r="216" ht="78.0" customHeight="1">
      <c r="A216" s="60" t="s">
        <v>902</v>
      </c>
      <c r="B216" s="60">
        <v>16.0</v>
      </c>
      <c r="C216" s="61">
        <f>CAMPAGNE!F32</f>
        <v>46323</v>
      </c>
      <c r="D216" s="62">
        <v>0.75</v>
      </c>
      <c r="E216" s="63">
        <f>CAMPAGNE!I32</f>
        <v>46347</v>
      </c>
      <c r="F216" s="60" t="str">
        <f t="shared" si="1"/>
        <v>Sabato</v>
      </c>
      <c r="G216" s="62">
        <v>0.5</v>
      </c>
      <c r="H216" s="60" t="s">
        <v>152</v>
      </c>
      <c r="I216" s="60" t="s">
        <v>170</v>
      </c>
      <c r="J216" s="42" t="s">
        <v>483</v>
      </c>
      <c r="K216" s="60" t="s">
        <v>281</v>
      </c>
      <c r="L216" s="42" t="s">
        <v>604</v>
      </c>
      <c r="M216" s="42" t="s">
        <v>285</v>
      </c>
      <c r="N216" s="42" t="s">
        <v>675</v>
      </c>
      <c r="O216" s="42" t="s">
        <v>901</v>
      </c>
      <c r="P216" s="42" t="str">
        <f>TESTI!N32</f>
        <v>Tocca SCOPRI IL LIBRO e scegli cartaceo o Kindle.</v>
      </c>
      <c r="Q216" s="64" t="str">
        <f>TESTI!I32</f>
        <v>https://diaridipelle.it/legami.html?utm_source=facebook&amp;utm_medium=story&amp;utm_campaign=legami&amp;utm_content=ch08</v>
      </c>
      <c r="R216" s="42" t="s">
        <v>188</v>
      </c>
      <c r="S216" s="60" t="s">
        <v>140</v>
      </c>
      <c r="T216" s="60" t="s">
        <v>124</v>
      </c>
      <c r="U216" s="42" t="s">
        <v>294</v>
      </c>
      <c r="V216" s="42" t="str">
        <f t="shared" si="2"/>
        <v/>
      </c>
    </row>
    <row r="217" ht="78.0" customHeight="1">
      <c r="A217" s="60" t="s">
        <v>903</v>
      </c>
      <c r="B217" s="60">
        <v>16.0</v>
      </c>
      <c r="C217" s="61">
        <f>CAMPAGNE!F32</f>
        <v>46323</v>
      </c>
      <c r="D217" s="62">
        <v>0.75</v>
      </c>
      <c r="E217" s="63">
        <f>CAMPAGNE!J32</f>
        <v>46348</v>
      </c>
      <c r="F217" s="60" t="str">
        <f t="shared" si="1"/>
        <v>Domenica</v>
      </c>
      <c r="G217" s="62">
        <v>0.8333333333333334</v>
      </c>
      <c r="H217" s="60" t="s">
        <v>128</v>
      </c>
      <c r="I217" s="60" t="s">
        <v>119</v>
      </c>
      <c r="J217" s="42" t="s">
        <v>483</v>
      </c>
      <c r="K217" s="60" t="s">
        <v>281</v>
      </c>
      <c r="L217" s="42" t="s">
        <v>604</v>
      </c>
      <c r="M217" s="42" t="s">
        <v>313</v>
      </c>
      <c r="N217" s="42" t="s">
        <v>677</v>
      </c>
      <c r="O217" s="42" t="s">
        <v>316</v>
      </c>
      <c r="P217" s="42" t="str">
        <f>TESTI!E32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Amazon: https://www.amazon.it/dp/B0GZJR8FSJ
#DiariDiPelle #Legami #LaChiaveSbagliata #Puglia #NarrativaPsicologica</v>
      </c>
      <c r="Q217" s="64" t="str">
        <f>TESTI!J32</f>
        <v>https://diaridipelle.it/legami.html</v>
      </c>
      <c r="R217" s="42" t="s">
        <v>139</v>
      </c>
      <c r="S217" s="60" t="s">
        <v>140</v>
      </c>
      <c r="T217" s="60" t="s">
        <v>124</v>
      </c>
      <c r="U217" s="42" t="s">
        <v>328</v>
      </c>
      <c r="V217" s="42" t="str">
        <f t="shared" si="2"/>
        <v/>
      </c>
    </row>
    <row r="218" ht="78.0" customHeight="1">
      <c r="A218" s="60" t="s">
        <v>904</v>
      </c>
      <c r="B218" s="60">
        <v>16.0</v>
      </c>
      <c r="C218" s="61">
        <f>CAMPAGNE!F32</f>
        <v>46323</v>
      </c>
      <c r="D218" s="62">
        <v>0.75</v>
      </c>
      <c r="E218" s="63">
        <f>CAMPAGNE!J32</f>
        <v>46348</v>
      </c>
      <c r="F218" s="60" t="str">
        <f t="shared" si="1"/>
        <v>Domenica</v>
      </c>
      <c r="G218" s="62">
        <v>0.8333333333333334</v>
      </c>
      <c r="H218" s="60" t="s">
        <v>152</v>
      </c>
      <c r="I218" s="60" t="s">
        <v>119</v>
      </c>
      <c r="J218" s="42" t="s">
        <v>483</v>
      </c>
      <c r="K218" s="60" t="s">
        <v>281</v>
      </c>
      <c r="L218" s="42" t="s">
        <v>604</v>
      </c>
      <c r="M218" s="42" t="s">
        <v>313</v>
      </c>
      <c r="N218" s="42" t="s">
        <v>677</v>
      </c>
      <c r="O218" s="42" t="s">
        <v>316</v>
      </c>
      <c r="P218" s="42" t="str">
        <f>TESTI!F32</f>
        <v>Ella riceve una chiave di casa, ma Bologna non riesce a diventare davvero casa per lei.
In Puglia arriva Anna, una ragazza che sembra offrire una vita più semplice. Anche quella porta, però, conduce altrove: essere desiderati non significa essere scelti e talvolta si diventa soltanto lo strumento che riporta qualcuno verso un'altra persona.
La chiave sbagliata racconta tre legami persi nello stesso tentativo di trovare un rifugio.
Continua dal link nel profilo.
🌐 https://diaridipelle.it/legami.html
🛒 Amazon: https://www.amazon.it/dp/B0GZJR8FSJ
#DiariDiPelle #Legami #LaChiaveSbagliata #Puglia #NarrativaPsicologica</v>
      </c>
      <c r="Q218" s="64" t="str">
        <f>TESTI!J32</f>
        <v>https://diaridipelle.it/legami.html</v>
      </c>
      <c r="R218" s="42" t="s">
        <v>188</v>
      </c>
      <c r="S218" s="60" t="s">
        <v>140</v>
      </c>
      <c r="T218" s="60" t="s">
        <v>124</v>
      </c>
      <c r="U218" s="42" t="s">
        <v>351</v>
      </c>
      <c r="V218" s="42" t="str">
        <f t="shared" si="2"/>
        <v/>
      </c>
    </row>
    <row r="219" ht="78.0" customHeight="1">
      <c r="A219" s="60" t="s">
        <v>905</v>
      </c>
      <c r="B219" s="60">
        <v>16.0</v>
      </c>
      <c r="C219" s="61">
        <f>CAMPAGNE!F33</f>
        <v>46323</v>
      </c>
      <c r="D219" s="62">
        <v>0.75</v>
      </c>
      <c r="E219" s="63">
        <f>CAMPAGNE!H33</f>
        <v>46349</v>
      </c>
      <c r="F219" s="60" t="str">
        <f t="shared" si="1"/>
        <v>Lunedì</v>
      </c>
      <c r="G219" s="62">
        <v>0.8333333333333334</v>
      </c>
      <c r="H219" s="60" t="s">
        <v>128</v>
      </c>
      <c r="I219" s="60" t="s">
        <v>131</v>
      </c>
      <c r="J219" s="42" t="s">
        <v>483</v>
      </c>
      <c r="K219" s="60" t="s">
        <v>292</v>
      </c>
      <c r="L219" s="42" t="s">
        <v>622</v>
      </c>
      <c r="M219" s="42" t="s">
        <v>135</v>
      </c>
      <c r="N219" s="42" t="s">
        <v>678</v>
      </c>
      <c r="O219" s="42" t="s">
        <v>679</v>
      </c>
      <c r="P219" s="42" t="str">
        <f>TESTI!E33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Amazon: https://www.amazon.it/dp/B0GZJR8FSJ
#DiariDiPelle #Legami #SafeWord #Francoforte #RomanziItaliani</v>
      </c>
      <c r="Q219" s="64" t="str">
        <f>TESTI!J33</f>
        <v>https://diaridipelle.it/legami.html</v>
      </c>
      <c r="R219" s="42" t="s">
        <v>139</v>
      </c>
      <c r="S219" s="60" t="s">
        <v>140</v>
      </c>
      <c r="T219" s="60" t="s">
        <v>124</v>
      </c>
      <c r="U219" s="42" t="s">
        <v>142</v>
      </c>
      <c r="V219" s="42" t="str">
        <f t="shared" si="2"/>
        <v/>
      </c>
    </row>
    <row r="220" ht="78.0" customHeight="1">
      <c r="A220" s="60" t="s">
        <v>906</v>
      </c>
      <c r="B220" s="60">
        <v>16.0</v>
      </c>
      <c r="C220" s="61">
        <f>CAMPAGNE!F33</f>
        <v>46323</v>
      </c>
      <c r="D220" s="62">
        <v>0.75</v>
      </c>
      <c r="E220" s="63">
        <f>CAMPAGNE!H33</f>
        <v>46349</v>
      </c>
      <c r="F220" s="60" t="str">
        <f t="shared" si="1"/>
        <v>Lunedì</v>
      </c>
      <c r="G220" s="62">
        <v>0.8333333333333334</v>
      </c>
      <c r="H220" s="60" t="s">
        <v>152</v>
      </c>
      <c r="I220" s="60" t="s">
        <v>131</v>
      </c>
      <c r="J220" s="42" t="s">
        <v>483</v>
      </c>
      <c r="K220" s="60" t="s">
        <v>292</v>
      </c>
      <c r="L220" s="42" t="s">
        <v>622</v>
      </c>
      <c r="M220" s="42" t="s">
        <v>172</v>
      </c>
      <c r="N220" s="42" t="s">
        <v>678</v>
      </c>
      <c r="O220" s="42" t="s">
        <v>679</v>
      </c>
      <c r="P220" s="42" t="str">
        <f>TESTI!F33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https://diaridipelle.it/legami.html
🛒 Amazon: https://www.amazon.it/dp/B0GZJR8FSJ
#DiariDiPelle #Legami #SafeWord #Francoforte #RomanziItaliani</v>
      </c>
      <c r="Q220" s="64" t="str">
        <f>TESTI!J33</f>
        <v>https://diaridipelle.it/legami.html</v>
      </c>
      <c r="R220" s="42" t="s">
        <v>188</v>
      </c>
      <c r="S220" s="60" t="s">
        <v>140</v>
      </c>
      <c r="T220" s="60" t="s">
        <v>124</v>
      </c>
      <c r="U220" s="42" t="s">
        <v>193</v>
      </c>
      <c r="V220" s="42" t="str">
        <f t="shared" si="2"/>
        <v/>
      </c>
    </row>
    <row r="221" ht="78.0" customHeight="1">
      <c r="A221" s="60" t="s">
        <v>907</v>
      </c>
      <c r="B221" s="60">
        <v>16.0</v>
      </c>
      <c r="C221" s="61">
        <f>CAMPAGNE!G33</f>
        <v>46344</v>
      </c>
      <c r="D221" s="62">
        <v>0.75</v>
      </c>
      <c r="E221" s="63">
        <f>CAMPAGNE!H33</f>
        <v>46349</v>
      </c>
      <c r="F221" s="60" t="str">
        <f t="shared" si="1"/>
        <v>Lunedì</v>
      </c>
      <c r="G221" s="62">
        <v>0.8333333333333334</v>
      </c>
      <c r="H221" s="60" t="s">
        <v>213</v>
      </c>
      <c r="I221" s="60" t="s">
        <v>111</v>
      </c>
      <c r="J221" s="42" t="s">
        <v>483</v>
      </c>
      <c r="K221" s="60" t="s">
        <v>292</v>
      </c>
      <c r="L221" s="42" t="s">
        <v>622</v>
      </c>
      <c r="M221" s="42" t="s">
        <v>223</v>
      </c>
      <c r="N221" s="42" t="s">
        <v>678</v>
      </c>
      <c r="O221" s="42" t="s">
        <v>679</v>
      </c>
      <c r="P221" s="42" t="str">
        <f>TESTI!G33</f>
        <v>A Bologna, Ella e il narratore trasformano i conflitti in una grammatica privata fatta di regole, confini e una parola di sicurezza.
«Safe Word» da Legami.
Scopri il libro dal link in bio.
#DiariDiPelle #Legami #BookTokItalia #LibriTikTok</v>
      </c>
      <c r="Q221" s="64" t="str">
        <f>TESTI!J33</f>
        <v>https://diaridipelle.it/legami.html</v>
      </c>
      <c r="R221" s="42" t="s">
        <v>138</v>
      </c>
      <c r="S221" s="60" t="s">
        <v>231</v>
      </c>
      <c r="T221" s="60" t="s">
        <v>124</v>
      </c>
      <c r="U221" s="42" t="s">
        <v>234</v>
      </c>
      <c r="V221" s="42" t="str">
        <f t="shared" si="2"/>
        <v/>
      </c>
    </row>
    <row r="222" ht="78.0" customHeight="1">
      <c r="A222" s="60" t="s">
        <v>908</v>
      </c>
      <c r="B222" s="60">
        <v>16.0</v>
      </c>
      <c r="C222" s="61">
        <f>CAMPAGNE!I33</f>
        <v>46350</v>
      </c>
      <c r="D222" s="62">
        <v>0.4965277777777778</v>
      </c>
      <c r="E222" s="63">
        <f>CAMPAGNE!I33</f>
        <v>46350</v>
      </c>
      <c r="F222" s="60" t="str">
        <f t="shared" si="1"/>
        <v>Martedì</v>
      </c>
      <c r="G222" s="62">
        <v>0.5</v>
      </c>
      <c r="H222" s="60" t="s">
        <v>128</v>
      </c>
      <c r="I222" s="60" t="s">
        <v>170</v>
      </c>
      <c r="J222" s="42" t="s">
        <v>483</v>
      </c>
      <c r="K222" s="60" t="s">
        <v>292</v>
      </c>
      <c r="L222" s="42" t="s">
        <v>622</v>
      </c>
      <c r="M222" s="42" t="s">
        <v>252</v>
      </c>
      <c r="N222" s="42" t="s">
        <v>680</v>
      </c>
      <c r="O222" s="42" t="s">
        <v>909</v>
      </c>
      <c r="P222" s="42" t="str">
        <f>TESTI!N33</f>
        <v>Tocca SCOPRI IL LIBRO e scegli cartaceo o Kindle.</v>
      </c>
      <c r="Q222" s="64" t="str">
        <f>TESTI!H33</f>
        <v>https://diaridipelle.it/legami.html?utm_source=instagram&amp;utm_medium=story&amp;utm_campaign=legami&amp;utm_content=ch09</v>
      </c>
      <c r="R222" s="42" t="s">
        <v>139</v>
      </c>
      <c r="S222" s="60" t="s">
        <v>79</v>
      </c>
      <c r="T222" s="60" t="s">
        <v>124</v>
      </c>
      <c r="U222" s="42" t="s">
        <v>262</v>
      </c>
      <c r="V222" s="42" t="str">
        <f t="shared" si="2"/>
        <v/>
      </c>
    </row>
    <row r="223" ht="78.0" customHeight="1">
      <c r="A223" s="60" t="s">
        <v>910</v>
      </c>
      <c r="B223" s="60">
        <v>16.0</v>
      </c>
      <c r="C223" s="61">
        <f>CAMPAGNE!F33</f>
        <v>46323</v>
      </c>
      <c r="D223" s="62">
        <v>0.75</v>
      </c>
      <c r="E223" s="63">
        <f>CAMPAGNE!I33</f>
        <v>46350</v>
      </c>
      <c r="F223" s="60" t="str">
        <f t="shared" si="1"/>
        <v>Martedì</v>
      </c>
      <c r="G223" s="62">
        <v>0.5</v>
      </c>
      <c r="H223" s="60" t="s">
        <v>152</v>
      </c>
      <c r="I223" s="60" t="s">
        <v>170</v>
      </c>
      <c r="J223" s="42" t="s">
        <v>483</v>
      </c>
      <c r="K223" s="60" t="s">
        <v>292</v>
      </c>
      <c r="L223" s="42" t="s">
        <v>622</v>
      </c>
      <c r="M223" s="42" t="s">
        <v>285</v>
      </c>
      <c r="N223" s="42" t="s">
        <v>680</v>
      </c>
      <c r="O223" s="42" t="s">
        <v>909</v>
      </c>
      <c r="P223" s="42" t="str">
        <f>TESTI!N33</f>
        <v>Tocca SCOPRI IL LIBRO e scegli cartaceo o Kindle.</v>
      </c>
      <c r="Q223" s="64" t="str">
        <f>TESTI!I33</f>
        <v>https://diaridipelle.it/legami.html?utm_source=facebook&amp;utm_medium=story&amp;utm_campaign=legami&amp;utm_content=ch09</v>
      </c>
      <c r="R223" s="42" t="s">
        <v>188</v>
      </c>
      <c r="S223" s="60" t="s">
        <v>140</v>
      </c>
      <c r="T223" s="60" t="s">
        <v>124</v>
      </c>
      <c r="U223" s="42" t="s">
        <v>294</v>
      </c>
      <c r="V223" s="42" t="str">
        <f t="shared" si="2"/>
        <v/>
      </c>
    </row>
    <row r="224" ht="78.0" customHeight="1">
      <c r="A224" s="60" t="s">
        <v>911</v>
      </c>
      <c r="B224" s="60">
        <v>16.0</v>
      </c>
      <c r="C224" s="61">
        <f>CAMPAGNE!F33</f>
        <v>46323</v>
      </c>
      <c r="D224" s="62">
        <v>0.75</v>
      </c>
      <c r="E224" s="63">
        <f>CAMPAGNE!J33</f>
        <v>46351</v>
      </c>
      <c r="F224" s="60" t="str">
        <f t="shared" si="1"/>
        <v>Mercoledì</v>
      </c>
      <c r="G224" s="62">
        <v>0.4583333333333333</v>
      </c>
      <c r="H224" s="60" t="s">
        <v>128</v>
      </c>
      <c r="I224" s="60" t="s">
        <v>119</v>
      </c>
      <c r="J224" s="42" t="s">
        <v>483</v>
      </c>
      <c r="K224" s="60" t="s">
        <v>292</v>
      </c>
      <c r="L224" s="42" t="s">
        <v>622</v>
      </c>
      <c r="M224" s="42" t="s">
        <v>313</v>
      </c>
      <c r="N224" s="42" t="s">
        <v>681</v>
      </c>
      <c r="O224" s="42" t="s">
        <v>316</v>
      </c>
      <c r="P224" s="42" t="str">
        <f>TESTI!E33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Amazon: https://www.amazon.it/dp/B0GZJR8FSJ
#DiariDiPelle #Legami #SafeWord #Francoforte #RomanziItaliani</v>
      </c>
      <c r="Q224" s="64" t="str">
        <f>TESTI!J33</f>
        <v>https://diaridipelle.it/legami.html</v>
      </c>
      <c r="R224" s="42" t="s">
        <v>139</v>
      </c>
      <c r="S224" s="60" t="s">
        <v>140</v>
      </c>
      <c r="T224" s="60" t="s">
        <v>124</v>
      </c>
      <c r="U224" s="42" t="s">
        <v>328</v>
      </c>
      <c r="V224" s="42" t="str">
        <f t="shared" si="2"/>
        <v/>
      </c>
    </row>
    <row r="225" ht="78.0" customHeight="1">
      <c r="A225" s="60" t="s">
        <v>912</v>
      </c>
      <c r="B225" s="60">
        <v>16.0</v>
      </c>
      <c r="C225" s="61">
        <f>CAMPAGNE!F33</f>
        <v>46323</v>
      </c>
      <c r="D225" s="62">
        <v>0.75</v>
      </c>
      <c r="E225" s="63">
        <f>CAMPAGNE!J33</f>
        <v>46351</v>
      </c>
      <c r="F225" s="60" t="str">
        <f t="shared" si="1"/>
        <v>Mercoledì</v>
      </c>
      <c r="G225" s="62">
        <v>0.4583333333333333</v>
      </c>
      <c r="H225" s="60" t="s">
        <v>152</v>
      </c>
      <c r="I225" s="60" t="s">
        <v>119</v>
      </c>
      <c r="J225" s="42" t="s">
        <v>483</v>
      </c>
      <c r="K225" s="60" t="s">
        <v>292</v>
      </c>
      <c r="L225" s="42" t="s">
        <v>622</v>
      </c>
      <c r="M225" s="42" t="s">
        <v>313</v>
      </c>
      <c r="N225" s="42" t="s">
        <v>681</v>
      </c>
      <c r="O225" s="42" t="s">
        <v>316</v>
      </c>
      <c r="P225" s="42" t="str">
        <f>TESTI!F33</f>
        <v>A Bologna, Ella e il narratore trasformano i conflitti in una grammatica privata fatta di regole, confini e una parola di sicurezza.
Poi arriva Francoforte, Capodanno e una telefonata della madre. La parola che può interrompere il gioco non può fermare la malattia, il ritorno urgente e l'inizio del buio.
Safe Word è il punto in cui Legămi cambia definitivamente temperatura.
Scopri il libro dal link nel profilo.
🌐 https://diaridipelle.it/legami.html
🛒 Amazon: https://www.amazon.it/dp/B0GZJR8FSJ
#DiariDiPelle #Legami #SafeWord #Francoforte #RomanziItaliani</v>
      </c>
      <c r="Q225" s="64" t="str">
        <f>TESTI!J33</f>
        <v>https://diaridipelle.it/legami.html</v>
      </c>
      <c r="R225" s="42" t="s">
        <v>188</v>
      </c>
      <c r="S225" s="60" t="s">
        <v>140</v>
      </c>
      <c r="T225" s="60" t="s">
        <v>124</v>
      </c>
      <c r="U225" s="42" t="s">
        <v>351</v>
      </c>
      <c r="V225" s="42" t="str">
        <f t="shared" si="2"/>
        <v/>
      </c>
    </row>
    <row r="226" ht="78.0" customHeight="1">
      <c r="A226" s="60" t="s">
        <v>913</v>
      </c>
      <c r="B226" s="60">
        <v>17.0</v>
      </c>
      <c r="C226" s="61">
        <f>CAMPAGNE!F34</f>
        <v>46351</v>
      </c>
      <c r="D226" s="62">
        <v>0.75</v>
      </c>
      <c r="E226" s="63">
        <f>CAMPAGNE!H34</f>
        <v>46353</v>
      </c>
      <c r="F226" s="60" t="str">
        <f t="shared" si="1"/>
        <v>Venerdì</v>
      </c>
      <c r="G226" s="62">
        <v>0.8333333333333334</v>
      </c>
      <c r="H226" s="60" t="s">
        <v>128</v>
      </c>
      <c r="I226" s="60" t="s">
        <v>131</v>
      </c>
      <c r="J226" s="42" t="s">
        <v>483</v>
      </c>
      <c r="K226" s="60" t="s">
        <v>308</v>
      </c>
      <c r="L226" s="42" t="s">
        <v>636</v>
      </c>
      <c r="M226" s="42" t="s">
        <v>135</v>
      </c>
      <c r="N226" s="42" t="s">
        <v>683</v>
      </c>
      <c r="O226" s="42" t="s">
        <v>684</v>
      </c>
      <c r="P226" s="42" t="str">
        <f>TESTI!E34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Amazon: https://www.amazon.it/dp/B0GZJR8FSJ
#DiariDiPelle #Legami #LaSospensione #Lutto #NarrativaItaliana</v>
      </c>
      <c r="Q226" s="64" t="str">
        <f>TESTI!J34</f>
        <v>https://diaridipelle.it/legami.html</v>
      </c>
      <c r="R226" s="42" t="s">
        <v>139</v>
      </c>
      <c r="S226" s="60" t="s">
        <v>140</v>
      </c>
      <c r="T226" s="60" t="s">
        <v>124</v>
      </c>
      <c r="U226" s="42" t="s">
        <v>142</v>
      </c>
      <c r="V226" s="42" t="str">
        <f t="shared" si="2"/>
        <v/>
      </c>
    </row>
    <row r="227" ht="78.0" customHeight="1">
      <c r="A227" s="60" t="s">
        <v>914</v>
      </c>
      <c r="B227" s="60">
        <v>17.0</v>
      </c>
      <c r="C227" s="61">
        <f>CAMPAGNE!F34</f>
        <v>46351</v>
      </c>
      <c r="D227" s="62">
        <v>0.75</v>
      </c>
      <c r="E227" s="63">
        <f>CAMPAGNE!H34</f>
        <v>46353</v>
      </c>
      <c r="F227" s="60" t="str">
        <f t="shared" si="1"/>
        <v>Venerdì</v>
      </c>
      <c r="G227" s="62">
        <v>0.8333333333333334</v>
      </c>
      <c r="H227" s="60" t="s">
        <v>152</v>
      </c>
      <c r="I227" s="60" t="s">
        <v>131</v>
      </c>
      <c r="J227" s="42" t="s">
        <v>483</v>
      </c>
      <c r="K227" s="60" t="s">
        <v>308</v>
      </c>
      <c r="L227" s="42" t="s">
        <v>636</v>
      </c>
      <c r="M227" s="42" t="s">
        <v>172</v>
      </c>
      <c r="N227" s="42" t="s">
        <v>683</v>
      </c>
      <c r="O227" s="42" t="s">
        <v>684</v>
      </c>
      <c r="P227" s="42" t="str">
        <f>TESTI!F34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https://diaridipelle.it/legami.html
🛒 Amazon: https://www.amazon.it/dp/B0GZJR8FSJ
#DiariDiPelle #Legami #LaSospensione #Lutto #NarrativaItaliana</v>
      </c>
      <c r="Q227" s="64" t="str">
        <f>TESTI!J34</f>
        <v>https://diaridipelle.it/legami.html</v>
      </c>
      <c r="R227" s="42" t="s">
        <v>188</v>
      </c>
      <c r="S227" s="60" t="s">
        <v>140</v>
      </c>
      <c r="T227" s="60" t="s">
        <v>124</v>
      </c>
      <c r="U227" s="42" t="s">
        <v>193</v>
      </c>
      <c r="V227" s="42" t="str">
        <f t="shared" si="2"/>
        <v/>
      </c>
    </row>
    <row r="228" ht="78.0" customHeight="1">
      <c r="A228" s="60" t="s">
        <v>915</v>
      </c>
      <c r="B228" s="60">
        <v>17.0</v>
      </c>
      <c r="C228" s="61">
        <f>CAMPAGNE!G34</f>
        <v>46351</v>
      </c>
      <c r="D228" s="62">
        <v>0.75</v>
      </c>
      <c r="E228" s="63">
        <f>CAMPAGNE!H34</f>
        <v>46353</v>
      </c>
      <c r="F228" s="60" t="str">
        <f t="shared" si="1"/>
        <v>Venerdì</v>
      </c>
      <c r="G228" s="62">
        <v>0.8333333333333334</v>
      </c>
      <c r="H228" s="60" t="s">
        <v>213</v>
      </c>
      <c r="I228" s="60" t="s">
        <v>111</v>
      </c>
      <c r="J228" s="42" t="s">
        <v>483</v>
      </c>
      <c r="K228" s="60" t="s">
        <v>308</v>
      </c>
      <c r="L228" s="42" t="s">
        <v>636</v>
      </c>
      <c r="M228" s="42" t="s">
        <v>223</v>
      </c>
      <c r="N228" s="42" t="s">
        <v>683</v>
      </c>
      <c r="O228" s="42" t="s">
        <v>684</v>
      </c>
      <c r="P228" s="42" t="str">
        <f>TESTI!G34</f>
        <v>Una telefonata interrompe Francoforte e riporta tutto verso la famiglia, la malattia di un padre e il tempo che si restringe.
«La sospensione» da Legami.
Scopri il libro dal link in bio.
#DiariDiPelle #Legami #BookTokItalia #LibriTikTok</v>
      </c>
      <c r="Q228" s="64" t="str">
        <f>TESTI!J34</f>
        <v>https://diaridipelle.it/legami.html</v>
      </c>
      <c r="R228" s="42" t="s">
        <v>138</v>
      </c>
      <c r="S228" s="60" t="s">
        <v>231</v>
      </c>
      <c r="T228" s="60" t="s">
        <v>124</v>
      </c>
      <c r="U228" s="42" t="s">
        <v>234</v>
      </c>
      <c r="V228" s="42" t="str">
        <f t="shared" si="2"/>
        <v/>
      </c>
    </row>
    <row r="229" ht="78.0" customHeight="1">
      <c r="A229" s="60" t="s">
        <v>916</v>
      </c>
      <c r="B229" s="60">
        <v>17.0</v>
      </c>
      <c r="C229" s="61">
        <f>CAMPAGNE!I34</f>
        <v>46354</v>
      </c>
      <c r="D229" s="62">
        <v>0.4965277777777778</v>
      </c>
      <c r="E229" s="63">
        <f>CAMPAGNE!I34</f>
        <v>46354</v>
      </c>
      <c r="F229" s="60" t="str">
        <f t="shared" si="1"/>
        <v>Sabato</v>
      </c>
      <c r="G229" s="62">
        <v>0.5</v>
      </c>
      <c r="H229" s="60" t="s">
        <v>128</v>
      </c>
      <c r="I229" s="60" t="s">
        <v>170</v>
      </c>
      <c r="J229" s="42" t="s">
        <v>483</v>
      </c>
      <c r="K229" s="60" t="s">
        <v>308</v>
      </c>
      <c r="L229" s="42" t="s">
        <v>636</v>
      </c>
      <c r="M229" s="42" t="s">
        <v>252</v>
      </c>
      <c r="N229" s="42" t="s">
        <v>685</v>
      </c>
      <c r="O229" s="42" t="s">
        <v>917</v>
      </c>
      <c r="P229" s="42" t="str">
        <f>TESTI!N34</f>
        <v>Tocca SCOPRI IL LIBRO e scegli cartaceo o Kindle.</v>
      </c>
      <c r="Q229" s="64" t="str">
        <f>TESTI!H34</f>
        <v>https://diaridipelle.it/legami.html?utm_source=instagram&amp;utm_medium=story&amp;utm_campaign=legami&amp;utm_content=ch10</v>
      </c>
      <c r="R229" s="42" t="s">
        <v>139</v>
      </c>
      <c r="S229" s="60" t="s">
        <v>79</v>
      </c>
      <c r="T229" s="60" t="s">
        <v>124</v>
      </c>
      <c r="U229" s="42" t="s">
        <v>262</v>
      </c>
      <c r="V229" s="42" t="str">
        <f t="shared" si="2"/>
        <v/>
      </c>
    </row>
    <row r="230" ht="78.0" customHeight="1">
      <c r="A230" s="60" t="s">
        <v>918</v>
      </c>
      <c r="B230" s="60">
        <v>17.0</v>
      </c>
      <c r="C230" s="61">
        <f>CAMPAGNE!F34</f>
        <v>46351</v>
      </c>
      <c r="D230" s="62">
        <v>0.75</v>
      </c>
      <c r="E230" s="63">
        <f>CAMPAGNE!I34</f>
        <v>46354</v>
      </c>
      <c r="F230" s="60" t="str">
        <f t="shared" si="1"/>
        <v>Sabato</v>
      </c>
      <c r="G230" s="62">
        <v>0.5</v>
      </c>
      <c r="H230" s="60" t="s">
        <v>152</v>
      </c>
      <c r="I230" s="60" t="s">
        <v>170</v>
      </c>
      <c r="J230" s="42" t="s">
        <v>483</v>
      </c>
      <c r="K230" s="60" t="s">
        <v>308</v>
      </c>
      <c r="L230" s="42" t="s">
        <v>636</v>
      </c>
      <c r="M230" s="42" t="s">
        <v>285</v>
      </c>
      <c r="N230" s="42" t="s">
        <v>685</v>
      </c>
      <c r="O230" s="42" t="s">
        <v>917</v>
      </c>
      <c r="P230" s="42" t="str">
        <f>TESTI!N34</f>
        <v>Tocca SCOPRI IL LIBRO e scegli cartaceo o Kindle.</v>
      </c>
      <c r="Q230" s="64" t="str">
        <f>TESTI!I34</f>
        <v>https://diaridipelle.it/legami.html?utm_source=facebook&amp;utm_medium=story&amp;utm_campaign=legami&amp;utm_content=ch10</v>
      </c>
      <c r="R230" s="42" t="s">
        <v>188</v>
      </c>
      <c r="S230" s="60" t="s">
        <v>140</v>
      </c>
      <c r="T230" s="60" t="s">
        <v>124</v>
      </c>
      <c r="U230" s="42" t="s">
        <v>294</v>
      </c>
      <c r="V230" s="42" t="str">
        <f t="shared" si="2"/>
        <v/>
      </c>
    </row>
    <row r="231" ht="78.0" customHeight="1">
      <c r="A231" s="60" t="s">
        <v>919</v>
      </c>
      <c r="B231" s="60">
        <v>17.0</v>
      </c>
      <c r="C231" s="61">
        <f>CAMPAGNE!F34</f>
        <v>46351</v>
      </c>
      <c r="D231" s="62">
        <v>0.75</v>
      </c>
      <c r="E231" s="63">
        <f>CAMPAGNE!J34</f>
        <v>46355</v>
      </c>
      <c r="F231" s="60" t="str">
        <f t="shared" si="1"/>
        <v>Domenica</v>
      </c>
      <c r="G231" s="62">
        <v>0.8333333333333334</v>
      </c>
      <c r="H231" s="60" t="s">
        <v>128</v>
      </c>
      <c r="I231" s="60" t="s">
        <v>119</v>
      </c>
      <c r="J231" s="42" t="s">
        <v>483</v>
      </c>
      <c r="K231" s="60" t="s">
        <v>308</v>
      </c>
      <c r="L231" s="42" t="s">
        <v>636</v>
      </c>
      <c r="M231" s="42" t="s">
        <v>313</v>
      </c>
      <c r="N231" s="42" t="s">
        <v>686</v>
      </c>
      <c r="O231" s="42" t="s">
        <v>316</v>
      </c>
      <c r="P231" s="42" t="str">
        <f>TESTI!E34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Amazon: https://www.amazon.it/dp/B0GZJR8FSJ
#DiariDiPelle #Legami #LaSospensione #Lutto #NarrativaItaliana</v>
      </c>
      <c r="Q231" s="64" t="str">
        <f>TESTI!J34</f>
        <v>https://diaridipelle.it/legami.html</v>
      </c>
      <c r="R231" s="42" t="s">
        <v>139</v>
      </c>
      <c r="S231" s="60" t="s">
        <v>140</v>
      </c>
      <c r="T231" s="60" t="s">
        <v>124</v>
      </c>
      <c r="U231" s="42" t="s">
        <v>328</v>
      </c>
      <c r="V231" s="42" t="str">
        <f t="shared" si="2"/>
        <v/>
      </c>
    </row>
    <row r="232" ht="78.0" customHeight="1">
      <c r="A232" s="60" t="s">
        <v>920</v>
      </c>
      <c r="B232" s="60">
        <v>17.0</v>
      </c>
      <c r="C232" s="61">
        <f>CAMPAGNE!F34</f>
        <v>46351</v>
      </c>
      <c r="D232" s="62">
        <v>0.75</v>
      </c>
      <c r="E232" s="63">
        <f>CAMPAGNE!J34</f>
        <v>46355</v>
      </c>
      <c r="F232" s="60" t="str">
        <f t="shared" si="1"/>
        <v>Domenica</v>
      </c>
      <c r="G232" s="62">
        <v>0.8333333333333334</v>
      </c>
      <c r="H232" s="60" t="s">
        <v>152</v>
      </c>
      <c r="I232" s="60" t="s">
        <v>119</v>
      </c>
      <c r="J232" s="42" t="s">
        <v>483</v>
      </c>
      <c r="K232" s="60" t="s">
        <v>308</v>
      </c>
      <c r="L232" s="42" t="s">
        <v>636</v>
      </c>
      <c r="M232" s="42" t="s">
        <v>313</v>
      </c>
      <c r="N232" s="42" t="s">
        <v>686</v>
      </c>
      <c r="O232" s="42" t="s">
        <v>316</v>
      </c>
      <c r="P232" s="42" t="str">
        <f>TESTI!F34</f>
        <v>Una telefonata interrompe Francoforte e riporta tutto verso la famiglia, la malattia di un padre e il tempo che si restringe.
Il corpo non è più soltanto desiderio: diventa fragilità, lutto, depressione e sopravvivenza. Tutti i simboli dei capitoli precedenti perdono eleganza davanti a un dolore che non può essere controllato.
La sospensione chiude Legămi senza una conclusione ordinata. La conseguenza diventa destino e la vita si spezza tra un prima e un dopo.
Leggi il terzo volume dal link nel profilo.
🌐 https://diaridipelle.it/legami.html
🛒 Amazon: https://www.amazon.it/dp/B0GZJR8FSJ
#DiariDiPelle #Legami #LaSospensione #Lutto #NarrativaItaliana</v>
      </c>
      <c r="Q232" s="64" t="str">
        <f>TESTI!J34</f>
        <v>https://diaridipelle.it/legami.html</v>
      </c>
      <c r="R232" s="42" t="s">
        <v>188</v>
      </c>
      <c r="S232" s="60" t="s">
        <v>140</v>
      </c>
      <c r="T232" s="60" t="s">
        <v>124</v>
      </c>
      <c r="U232" s="42" t="s">
        <v>351</v>
      </c>
      <c r="V232" s="42" t="str">
        <f t="shared" si="2"/>
        <v/>
      </c>
    </row>
    <row r="233" ht="78.0" customHeight="1">
      <c r="A233" s="60" t="s">
        <v>921</v>
      </c>
      <c r="B233" s="60">
        <v>17.0</v>
      </c>
      <c r="C233" s="61">
        <f>CAMPAGNE!F35</f>
        <v>46351</v>
      </c>
      <c r="D233" s="62">
        <v>0.75</v>
      </c>
      <c r="E233" s="63">
        <f>CAMPAGNE!H35</f>
        <v>46356</v>
      </c>
      <c r="F233" s="60" t="str">
        <f t="shared" si="1"/>
        <v>Lunedì</v>
      </c>
      <c r="G233" s="62">
        <v>0.8333333333333334</v>
      </c>
      <c r="H233" s="60" t="s">
        <v>128</v>
      </c>
      <c r="I233" s="60" t="s">
        <v>131</v>
      </c>
      <c r="J233" s="42" t="s">
        <v>483</v>
      </c>
      <c r="K233" s="60" t="s">
        <v>645</v>
      </c>
      <c r="L233" s="42" t="s">
        <v>646</v>
      </c>
      <c r="M233" s="42" t="s">
        <v>135</v>
      </c>
      <c r="N233" s="42" t="s">
        <v>688</v>
      </c>
      <c r="O233" s="42" t="s">
        <v>689</v>
      </c>
      <c r="P233" s="42" t="str">
        <f>TESTI!E35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Amazon: https://www.amazon.it/dp/B0GZJR8FSJ
#DiariDiPelle #Legami #BookReel #BookstagramItalia #NarrativaPsicologica</v>
      </c>
      <c r="Q233" s="64" t="str">
        <f>TESTI!J35</f>
        <v>https://diaridipelle.it/legami.html</v>
      </c>
      <c r="R233" s="42" t="s">
        <v>139</v>
      </c>
      <c r="S233" s="60" t="s">
        <v>140</v>
      </c>
      <c r="T233" s="60" t="s">
        <v>124</v>
      </c>
      <c r="U233" s="42" t="s">
        <v>142</v>
      </c>
      <c r="V233" s="42" t="str">
        <f t="shared" si="2"/>
        <v/>
      </c>
    </row>
    <row r="234" ht="78.0" customHeight="1">
      <c r="A234" s="60" t="s">
        <v>922</v>
      </c>
      <c r="B234" s="60">
        <v>17.0</v>
      </c>
      <c r="C234" s="61">
        <f>CAMPAGNE!F35</f>
        <v>46351</v>
      </c>
      <c r="D234" s="62">
        <v>0.75</v>
      </c>
      <c r="E234" s="63">
        <f>CAMPAGNE!H35</f>
        <v>46356</v>
      </c>
      <c r="F234" s="60" t="str">
        <f t="shared" si="1"/>
        <v>Lunedì</v>
      </c>
      <c r="G234" s="62">
        <v>0.8333333333333334</v>
      </c>
      <c r="H234" s="60" t="s">
        <v>152</v>
      </c>
      <c r="I234" s="60" t="s">
        <v>131</v>
      </c>
      <c r="J234" s="42" t="s">
        <v>483</v>
      </c>
      <c r="K234" s="60" t="s">
        <v>645</v>
      </c>
      <c r="L234" s="42" t="s">
        <v>646</v>
      </c>
      <c r="M234" s="42" t="s">
        <v>172</v>
      </c>
      <c r="N234" s="42" t="s">
        <v>688</v>
      </c>
      <c r="O234" s="42" t="s">
        <v>689</v>
      </c>
      <c r="P234" s="42" t="str">
        <f>TESTI!F35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https://diaridipelle.it/legami.html
🛒 Amazon: https://www.amazon.it/dp/B0GZJR8FSJ
#DiariDiPelle #Legami #BookReel #BookstagramItalia #NarrativaPsicologica</v>
      </c>
      <c r="Q234" s="64" t="str">
        <f>TESTI!J35</f>
        <v>https://diaridipelle.it/legami.html</v>
      </c>
      <c r="R234" s="42" t="s">
        <v>188</v>
      </c>
      <c r="S234" s="60" t="s">
        <v>140</v>
      </c>
      <c r="T234" s="60" t="s">
        <v>124</v>
      </c>
      <c r="U234" s="42" t="s">
        <v>193</v>
      </c>
      <c r="V234" s="42" t="str">
        <f t="shared" si="2"/>
        <v/>
      </c>
    </row>
    <row r="235" ht="78.0" customHeight="1">
      <c r="A235" s="60" t="s">
        <v>923</v>
      </c>
      <c r="B235" s="60">
        <v>17.0</v>
      </c>
      <c r="C235" s="61">
        <f>CAMPAGNE!G35</f>
        <v>46351</v>
      </c>
      <c r="D235" s="62">
        <v>0.75</v>
      </c>
      <c r="E235" s="63">
        <f>CAMPAGNE!H35</f>
        <v>46356</v>
      </c>
      <c r="F235" s="60" t="str">
        <f t="shared" si="1"/>
        <v>Lunedì</v>
      </c>
      <c r="G235" s="62">
        <v>0.8333333333333334</v>
      </c>
      <c r="H235" s="60" t="s">
        <v>213</v>
      </c>
      <c r="I235" s="60" t="s">
        <v>111</v>
      </c>
      <c r="J235" s="42" t="s">
        <v>483</v>
      </c>
      <c r="K235" s="60" t="s">
        <v>645</v>
      </c>
      <c r="L235" s="42" t="s">
        <v>646</v>
      </c>
      <c r="M235" s="42" t="s">
        <v>223</v>
      </c>
      <c r="N235" s="42" t="s">
        <v>688</v>
      </c>
      <c r="O235" s="42" t="s">
        <v>689</v>
      </c>
      <c r="P235" s="42" t="str">
        <f>TESTI!G35</f>
        <v>Si può provare a cambiare città, corpo, ritmo e promessa. Ma certi legami continuano a tirare anche quando sembrano finiti.
«Il legame che torna» da Legami.
Scopri il libro dal link in bio.
#DiariDiPelle #Legami #BookTokItalia #LibriTikTok</v>
      </c>
      <c r="Q235" s="64" t="str">
        <f>TESTI!J35</f>
        <v>https://diaridipelle.it/legami.html</v>
      </c>
      <c r="R235" s="42" t="s">
        <v>138</v>
      </c>
      <c r="S235" s="60" t="s">
        <v>231</v>
      </c>
      <c r="T235" s="60" t="s">
        <v>124</v>
      </c>
      <c r="U235" s="42" t="s">
        <v>234</v>
      </c>
      <c r="V235" s="42" t="str">
        <f t="shared" si="2"/>
        <v/>
      </c>
    </row>
    <row r="236" ht="78.0" customHeight="1">
      <c r="A236" s="60" t="s">
        <v>924</v>
      </c>
      <c r="B236" s="60">
        <v>17.0</v>
      </c>
      <c r="C236" s="61">
        <f>CAMPAGNE!I35</f>
        <v>46357</v>
      </c>
      <c r="D236" s="62">
        <v>0.4965277777777778</v>
      </c>
      <c r="E236" s="63">
        <f>CAMPAGNE!I35</f>
        <v>46357</v>
      </c>
      <c r="F236" s="60" t="str">
        <f t="shared" si="1"/>
        <v>Martedì</v>
      </c>
      <c r="G236" s="62">
        <v>0.5</v>
      </c>
      <c r="H236" s="60" t="s">
        <v>128</v>
      </c>
      <c r="I236" s="60" t="s">
        <v>170</v>
      </c>
      <c r="J236" s="42" t="s">
        <v>483</v>
      </c>
      <c r="K236" s="60" t="s">
        <v>645</v>
      </c>
      <c r="L236" s="42" t="s">
        <v>646</v>
      </c>
      <c r="M236" s="42" t="s">
        <v>252</v>
      </c>
      <c r="N236" s="42" t="s">
        <v>690</v>
      </c>
      <c r="O236" s="42" t="s">
        <v>925</v>
      </c>
      <c r="P236" s="42" t="str">
        <f>TESTI!N35</f>
        <v>Tocca SCOPRI IL LIBRO e scegli cartaceo o Kindle.</v>
      </c>
      <c r="Q236" s="64" t="str">
        <f>TESTI!H35</f>
        <v>https://diaridipelle.it/legami.html?utm_source=instagram&amp;utm_medium=story&amp;utm_campaign=legami&amp;utm_content=extra</v>
      </c>
      <c r="R236" s="42" t="s">
        <v>139</v>
      </c>
      <c r="S236" s="60" t="s">
        <v>79</v>
      </c>
      <c r="T236" s="60" t="s">
        <v>124</v>
      </c>
      <c r="U236" s="42" t="s">
        <v>262</v>
      </c>
      <c r="V236" s="42" t="str">
        <f t="shared" si="2"/>
        <v/>
      </c>
    </row>
    <row r="237" ht="78.0" customHeight="1">
      <c r="A237" s="60" t="s">
        <v>926</v>
      </c>
      <c r="B237" s="60">
        <v>17.0</v>
      </c>
      <c r="C237" s="61">
        <f>CAMPAGNE!F35</f>
        <v>46351</v>
      </c>
      <c r="D237" s="62">
        <v>0.75</v>
      </c>
      <c r="E237" s="63">
        <f>CAMPAGNE!I35</f>
        <v>46357</v>
      </c>
      <c r="F237" s="60" t="str">
        <f t="shared" si="1"/>
        <v>Martedì</v>
      </c>
      <c r="G237" s="62">
        <v>0.5</v>
      </c>
      <c r="H237" s="60" t="s">
        <v>152</v>
      </c>
      <c r="I237" s="60" t="s">
        <v>170</v>
      </c>
      <c r="J237" s="42" t="s">
        <v>483</v>
      </c>
      <c r="K237" s="60" t="s">
        <v>645</v>
      </c>
      <c r="L237" s="42" t="s">
        <v>646</v>
      </c>
      <c r="M237" s="42" t="s">
        <v>285</v>
      </c>
      <c r="N237" s="42" t="s">
        <v>690</v>
      </c>
      <c r="O237" s="42" t="s">
        <v>925</v>
      </c>
      <c r="P237" s="42" t="str">
        <f>TESTI!N35</f>
        <v>Tocca SCOPRI IL LIBRO e scegli cartaceo o Kindle.</v>
      </c>
      <c r="Q237" s="64" t="str">
        <f>TESTI!I35</f>
        <v>https://diaridipelle.it/legami.html?utm_source=facebook&amp;utm_medium=story&amp;utm_campaign=legami&amp;utm_content=extra</v>
      </c>
      <c r="R237" s="42" t="s">
        <v>188</v>
      </c>
      <c r="S237" s="60" t="s">
        <v>140</v>
      </c>
      <c r="T237" s="60" t="s">
        <v>124</v>
      </c>
      <c r="U237" s="42" t="s">
        <v>294</v>
      </c>
      <c r="V237" s="42" t="str">
        <f t="shared" si="2"/>
        <v/>
      </c>
    </row>
    <row r="238" ht="78.0" customHeight="1">
      <c r="A238" s="60" t="s">
        <v>927</v>
      </c>
      <c r="B238" s="60">
        <v>17.0</v>
      </c>
      <c r="C238" s="61">
        <f>CAMPAGNE!F35</f>
        <v>46351</v>
      </c>
      <c r="D238" s="62">
        <v>0.75</v>
      </c>
      <c r="E238" s="63">
        <f>CAMPAGNE!J35</f>
        <v>46358</v>
      </c>
      <c r="F238" s="60" t="str">
        <f t="shared" si="1"/>
        <v>Mercoledì</v>
      </c>
      <c r="G238" s="62">
        <v>0.4583333333333333</v>
      </c>
      <c r="H238" s="60" t="s">
        <v>128</v>
      </c>
      <c r="I238" s="60" t="s">
        <v>119</v>
      </c>
      <c r="J238" s="42" t="s">
        <v>483</v>
      </c>
      <c r="K238" s="60" t="s">
        <v>645</v>
      </c>
      <c r="L238" s="42" t="s">
        <v>646</v>
      </c>
      <c r="M238" s="42" t="s">
        <v>313</v>
      </c>
      <c r="N238" s="42" t="s">
        <v>691</v>
      </c>
      <c r="O238" s="42" t="s">
        <v>316</v>
      </c>
      <c r="P238" s="42" t="str">
        <f>TESTI!E35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Amazon: https://www.amazon.it/dp/B0GZJR8FSJ
#DiariDiPelle #Legami #BookReel #BookstagramItalia #NarrativaPsicologica</v>
      </c>
      <c r="Q238" s="64" t="str">
        <f>TESTI!J35</f>
        <v>https://diaridipelle.it/legami.html</v>
      </c>
      <c r="R238" s="42" t="s">
        <v>139</v>
      </c>
      <c r="S238" s="60" t="s">
        <v>140</v>
      </c>
      <c r="T238" s="60" t="s">
        <v>124</v>
      </c>
      <c r="U238" s="42" t="s">
        <v>328</v>
      </c>
      <c r="V238" s="42" t="str">
        <f t="shared" si="2"/>
        <v/>
      </c>
    </row>
    <row r="239" ht="78.0" customHeight="1">
      <c r="A239" s="70" t="s">
        <v>928</v>
      </c>
      <c r="B239" s="70">
        <v>17.0</v>
      </c>
      <c r="C239" s="71">
        <f>CAMPAGNE!F35</f>
        <v>46351</v>
      </c>
      <c r="D239" s="72">
        <v>0.75</v>
      </c>
      <c r="E239" s="73">
        <f>CAMPAGNE!J35</f>
        <v>46358</v>
      </c>
      <c r="F239" s="70" t="str">
        <f t="shared" si="1"/>
        <v>Mercoledì</v>
      </c>
      <c r="G239" s="72">
        <v>0.4583333333333333</v>
      </c>
      <c r="H239" s="70" t="s">
        <v>152</v>
      </c>
      <c r="I239" s="70" t="s">
        <v>119</v>
      </c>
      <c r="J239" s="65" t="s">
        <v>483</v>
      </c>
      <c r="K239" s="70" t="s">
        <v>645</v>
      </c>
      <c r="L239" s="65" t="s">
        <v>646</v>
      </c>
      <c r="M239" s="65" t="s">
        <v>313</v>
      </c>
      <c r="N239" s="65" t="s">
        <v>691</v>
      </c>
      <c r="O239" s="65" t="s">
        <v>316</v>
      </c>
      <c r="P239" s="65" t="str">
        <f>TESTI!F35</f>
        <v>Si può provare a cambiare città, corpo, ritmo e promessa. Ma certi legami continuano a tirare anche quando sembrano finiti.
Questo contenuto extra attraversa il cuore di Legămi: il bisogno di sentirsi scelti, la paura di essere sostituiti e il confine incerto tra una porta aperta e una casa vera.
Il terzo volume di Diari di Pelle è disponibile su Amazon.
Scoprilo dal link nel profilo.
🌐 https://diaridipelle.it/legami.html
🛒 Amazon: https://www.amazon.it/dp/B0GZJR8FSJ
#DiariDiPelle #Legami #BookReel #BookstagramItalia #NarrativaPsicologica</v>
      </c>
      <c r="Q239" s="74" t="str">
        <f>TESTI!J35</f>
        <v>https://diaridipelle.it/legami.html</v>
      </c>
      <c r="R239" s="65" t="s">
        <v>188</v>
      </c>
      <c r="S239" s="70" t="s">
        <v>140</v>
      </c>
      <c r="T239" s="70" t="s">
        <v>124</v>
      </c>
      <c r="U239" s="65" t="s">
        <v>351</v>
      </c>
      <c r="V239" s="65" t="str">
        <f t="shared" si="2"/>
        <v/>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V239">
    <cfRule type="expression" dxfId="5" priority="1">
      <formula>$T2="Pubblicato"</formula>
    </cfRule>
  </conditionalFormatting>
  <conditionalFormatting sqref="A2:V239">
    <cfRule type="expression" dxfId="6" priority="2">
      <formula>$T2="Programmato"</formula>
    </cfRule>
  </conditionalFormatting>
  <conditionalFormatting sqref="A2:V239">
    <cfRule type="expression" dxfId="7" priority="3">
      <formula>$T2="Errore"</formula>
    </cfRule>
  </conditionalFormatting>
  <conditionalFormatting sqref="A2:V239">
    <cfRule type="expression" dxfId="8" priority="4">
      <formula>$V2="SÌ"</formula>
    </cfRule>
  </conditionalFormatting>
  <conditionalFormatting sqref="H2:H239">
    <cfRule type="containsText" dxfId="9" priority="5" operator="containsText" text="Instagram">
      <formula>NOT(ISERROR(SEARCH(("Instagram"),(H2))))</formula>
    </cfRule>
  </conditionalFormatting>
  <conditionalFormatting sqref="H2:H239">
    <cfRule type="containsText" dxfId="10" priority="6" operator="containsText" text="Facebook">
      <formula>NOT(ISERROR(SEARCH(("Facebook"),(H2))))</formula>
    </cfRule>
  </conditionalFormatting>
  <conditionalFormatting sqref="H2:H239">
    <cfRule type="containsText" dxfId="11" priority="7" operator="containsText" text="TikTok">
      <formula>NOT(ISERROR(SEARCH(("TikTok"),(H2))))</formula>
    </cfRule>
  </conditionalFormatting>
  <dataValidations>
    <dataValidation type="list" allowBlank="1" sqref="T2:T239">
      <formula1>"Da fare,Programmato,Pubblicato,Errore"</formula1>
    </dataValidation>
  </dataValidations>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22.0"/>
    <col customWidth="1" min="3" max="3" width="11.0"/>
    <col customWidth="1" min="4" max="4" width="24.0"/>
    <col customWidth="1" min="5" max="6" width="50.0"/>
    <col customWidth="1" min="7" max="7" width="44.0"/>
    <col customWidth="1" min="8" max="9" width="42.0"/>
    <col customWidth="1" min="10" max="10" width="34.0"/>
    <col customWidth="1" min="11" max="12" width="30.0"/>
    <col customWidth="1" min="13" max="13" width="45.0"/>
    <col customWidth="1" min="14" max="14" width="34.0"/>
    <col customWidth="1" min="15" max="26" width="8.63"/>
  </cols>
  <sheetData>
    <row r="1">
      <c r="A1" s="29" t="s">
        <v>148</v>
      </c>
      <c r="B1" s="29" t="s">
        <v>85</v>
      </c>
      <c r="C1" s="29" t="s">
        <v>51</v>
      </c>
      <c r="D1" s="29" t="s">
        <v>91</v>
      </c>
      <c r="E1" s="29" t="s">
        <v>151</v>
      </c>
      <c r="F1" s="29" t="s">
        <v>154</v>
      </c>
      <c r="G1" s="29" t="s">
        <v>156</v>
      </c>
      <c r="H1" s="29" t="s">
        <v>159</v>
      </c>
      <c r="I1" s="29" t="s">
        <v>161</v>
      </c>
      <c r="J1" s="29" t="s">
        <v>163</v>
      </c>
      <c r="K1" s="29" t="s">
        <v>165</v>
      </c>
      <c r="L1" s="29" t="s">
        <v>166</v>
      </c>
      <c r="M1" s="29" t="s">
        <v>168</v>
      </c>
      <c r="N1" s="29" t="s">
        <v>169</v>
      </c>
    </row>
    <row r="2" ht="109.5" customHeight="1">
      <c r="A2" s="36" t="s">
        <v>171</v>
      </c>
      <c r="B2" s="36" t="s">
        <v>132</v>
      </c>
      <c r="C2" s="36" t="s">
        <v>133</v>
      </c>
      <c r="D2" s="36" t="s">
        <v>132</v>
      </c>
      <c r="E2" s="36" t="s">
        <v>175</v>
      </c>
      <c r="F2" s="36" t="s">
        <v>176</v>
      </c>
      <c r="G2" s="36" t="s">
        <v>177</v>
      </c>
      <c r="H2" s="36" t="s">
        <v>178</v>
      </c>
      <c r="I2" s="36" t="s">
        <v>180</v>
      </c>
      <c r="J2" s="36" t="s">
        <v>181</v>
      </c>
      <c r="K2" s="36" t="s">
        <v>182</v>
      </c>
      <c r="L2" s="36" t="s">
        <v>183</v>
      </c>
      <c r="M2" s="36" t="s">
        <v>184</v>
      </c>
      <c r="N2" s="36" t="s">
        <v>185</v>
      </c>
    </row>
    <row r="3" ht="109.5" customHeight="1">
      <c r="A3" s="42" t="s">
        <v>187</v>
      </c>
      <c r="B3" s="42" t="s">
        <v>132</v>
      </c>
      <c r="C3" s="42" t="s">
        <v>189</v>
      </c>
      <c r="D3" s="42" t="s">
        <v>190</v>
      </c>
      <c r="E3" s="42" t="s">
        <v>191</v>
      </c>
      <c r="F3" s="42" t="s">
        <v>192</v>
      </c>
      <c r="G3" s="42" t="s">
        <v>194</v>
      </c>
      <c r="H3" s="42" t="s">
        <v>195</v>
      </c>
      <c r="I3" s="42" t="s">
        <v>196</v>
      </c>
      <c r="J3" s="42" t="s">
        <v>181</v>
      </c>
      <c r="K3" s="42" t="s">
        <v>182</v>
      </c>
      <c r="L3" s="42" t="s">
        <v>183</v>
      </c>
      <c r="M3" s="42" t="s">
        <v>199</v>
      </c>
      <c r="N3" s="42" t="s">
        <v>185</v>
      </c>
    </row>
    <row r="4" ht="109.5" customHeight="1">
      <c r="A4" s="42" t="s">
        <v>200</v>
      </c>
      <c r="B4" s="42" t="s">
        <v>132</v>
      </c>
      <c r="C4" s="42" t="s">
        <v>201</v>
      </c>
      <c r="D4" s="42" t="s">
        <v>202</v>
      </c>
      <c r="E4" s="42" t="s">
        <v>203</v>
      </c>
      <c r="F4" s="42" t="s">
        <v>204</v>
      </c>
      <c r="G4" s="42" t="s">
        <v>205</v>
      </c>
      <c r="H4" s="42" t="s">
        <v>206</v>
      </c>
      <c r="I4" s="42" t="s">
        <v>207</v>
      </c>
      <c r="J4" s="42" t="s">
        <v>181</v>
      </c>
      <c r="K4" s="42" t="s">
        <v>182</v>
      </c>
      <c r="L4" s="42" t="s">
        <v>183</v>
      </c>
      <c r="M4" s="42" t="s">
        <v>209</v>
      </c>
      <c r="N4" s="42" t="s">
        <v>185</v>
      </c>
    </row>
    <row r="5" ht="109.5" customHeight="1">
      <c r="A5" s="42" t="s">
        <v>212</v>
      </c>
      <c r="B5" s="42" t="s">
        <v>132</v>
      </c>
      <c r="C5" s="42" t="s">
        <v>214</v>
      </c>
      <c r="D5" s="42" t="s">
        <v>216</v>
      </c>
      <c r="E5" s="42" t="s">
        <v>217</v>
      </c>
      <c r="F5" s="42" t="s">
        <v>219</v>
      </c>
      <c r="G5" s="42" t="s">
        <v>220</v>
      </c>
      <c r="H5" s="42" t="s">
        <v>221</v>
      </c>
      <c r="I5" s="42" t="s">
        <v>222</v>
      </c>
      <c r="J5" s="42" t="s">
        <v>181</v>
      </c>
      <c r="K5" s="42" t="s">
        <v>182</v>
      </c>
      <c r="L5" s="42" t="s">
        <v>183</v>
      </c>
      <c r="M5" s="42" t="s">
        <v>224</v>
      </c>
      <c r="N5" s="42" t="s">
        <v>185</v>
      </c>
    </row>
    <row r="6" ht="109.5" customHeight="1">
      <c r="A6" s="42" t="s">
        <v>226</v>
      </c>
      <c r="B6" s="42" t="s">
        <v>132</v>
      </c>
      <c r="C6" s="42" t="s">
        <v>227</v>
      </c>
      <c r="D6" s="42" t="s">
        <v>228</v>
      </c>
      <c r="E6" s="42" t="s">
        <v>229</v>
      </c>
      <c r="F6" s="42" t="s">
        <v>230</v>
      </c>
      <c r="G6" s="42" t="s">
        <v>232</v>
      </c>
      <c r="H6" s="42" t="s">
        <v>233</v>
      </c>
      <c r="I6" s="42" t="s">
        <v>235</v>
      </c>
      <c r="J6" s="42" t="s">
        <v>181</v>
      </c>
      <c r="K6" s="42" t="s">
        <v>182</v>
      </c>
      <c r="L6" s="42" t="s">
        <v>183</v>
      </c>
      <c r="M6" s="42" t="s">
        <v>239</v>
      </c>
      <c r="N6" s="42" t="s">
        <v>185</v>
      </c>
    </row>
    <row r="7" ht="109.5" customHeight="1">
      <c r="A7" s="42" t="s">
        <v>242</v>
      </c>
      <c r="B7" s="42" t="s">
        <v>132</v>
      </c>
      <c r="C7" s="42" t="s">
        <v>243</v>
      </c>
      <c r="D7" s="42" t="s">
        <v>244</v>
      </c>
      <c r="E7" s="42" t="s">
        <v>245</v>
      </c>
      <c r="F7" s="42" t="s">
        <v>246</v>
      </c>
      <c r="G7" s="42" t="s">
        <v>247</v>
      </c>
      <c r="H7" s="42" t="s">
        <v>248</v>
      </c>
      <c r="I7" s="42" t="s">
        <v>250</v>
      </c>
      <c r="J7" s="42" t="s">
        <v>181</v>
      </c>
      <c r="K7" s="42" t="s">
        <v>182</v>
      </c>
      <c r="L7" s="42" t="s">
        <v>183</v>
      </c>
      <c r="M7" s="42" t="s">
        <v>253</v>
      </c>
      <c r="N7" s="42" t="s">
        <v>185</v>
      </c>
    </row>
    <row r="8" ht="109.5" customHeight="1">
      <c r="A8" s="42" t="s">
        <v>255</v>
      </c>
      <c r="B8" s="42" t="s">
        <v>132</v>
      </c>
      <c r="C8" s="42" t="s">
        <v>256</v>
      </c>
      <c r="D8" s="42" t="s">
        <v>257</v>
      </c>
      <c r="E8" s="42" t="s">
        <v>258</v>
      </c>
      <c r="F8" s="42" t="s">
        <v>259</v>
      </c>
      <c r="G8" s="42" t="s">
        <v>260</v>
      </c>
      <c r="H8" s="42" t="s">
        <v>261</v>
      </c>
      <c r="I8" s="42" t="s">
        <v>263</v>
      </c>
      <c r="J8" s="42" t="s">
        <v>181</v>
      </c>
      <c r="K8" s="42" t="s">
        <v>182</v>
      </c>
      <c r="L8" s="42" t="s">
        <v>183</v>
      </c>
      <c r="M8" s="42" t="s">
        <v>267</v>
      </c>
      <c r="N8" s="42" t="s">
        <v>185</v>
      </c>
    </row>
    <row r="9" ht="109.5" customHeight="1">
      <c r="A9" s="42" t="s">
        <v>269</v>
      </c>
      <c r="B9" s="42" t="s">
        <v>132</v>
      </c>
      <c r="C9" s="42" t="s">
        <v>271</v>
      </c>
      <c r="D9" s="42" t="s">
        <v>272</v>
      </c>
      <c r="E9" s="42" t="s">
        <v>273</v>
      </c>
      <c r="F9" s="42" t="s">
        <v>274</v>
      </c>
      <c r="G9" s="42" t="s">
        <v>275</v>
      </c>
      <c r="H9" s="42" t="s">
        <v>276</v>
      </c>
      <c r="I9" s="42" t="s">
        <v>278</v>
      </c>
      <c r="J9" s="42" t="s">
        <v>181</v>
      </c>
      <c r="K9" s="42" t="s">
        <v>182</v>
      </c>
      <c r="L9" s="42" t="s">
        <v>183</v>
      </c>
      <c r="M9" s="42" t="s">
        <v>279</v>
      </c>
      <c r="N9" s="42" t="s">
        <v>185</v>
      </c>
    </row>
    <row r="10" ht="109.5" customHeight="1">
      <c r="A10" s="42" t="s">
        <v>280</v>
      </c>
      <c r="B10" s="42" t="s">
        <v>132</v>
      </c>
      <c r="C10" s="42" t="s">
        <v>281</v>
      </c>
      <c r="D10" s="42" t="s">
        <v>282</v>
      </c>
      <c r="E10" s="42" t="s">
        <v>283</v>
      </c>
      <c r="F10" s="42" t="s">
        <v>284</v>
      </c>
      <c r="G10" s="42" t="s">
        <v>286</v>
      </c>
      <c r="H10" s="42" t="s">
        <v>287</v>
      </c>
      <c r="I10" s="42" t="s">
        <v>288</v>
      </c>
      <c r="J10" s="42" t="s">
        <v>181</v>
      </c>
      <c r="K10" s="42" t="s">
        <v>182</v>
      </c>
      <c r="L10" s="42" t="s">
        <v>183</v>
      </c>
      <c r="M10" s="42" t="s">
        <v>289</v>
      </c>
      <c r="N10" s="42" t="s">
        <v>185</v>
      </c>
    </row>
    <row r="11" ht="109.5" customHeight="1">
      <c r="A11" s="42" t="s">
        <v>290</v>
      </c>
      <c r="B11" s="42" t="s">
        <v>132</v>
      </c>
      <c r="C11" s="42" t="s">
        <v>292</v>
      </c>
      <c r="D11" s="42" t="s">
        <v>293</v>
      </c>
      <c r="E11" s="42" t="s">
        <v>295</v>
      </c>
      <c r="F11" s="42" t="s">
        <v>298</v>
      </c>
      <c r="G11" s="42" t="s">
        <v>301</v>
      </c>
      <c r="H11" s="42" t="s">
        <v>303</v>
      </c>
      <c r="I11" s="42" t="s">
        <v>304</v>
      </c>
      <c r="J11" s="42" t="s">
        <v>181</v>
      </c>
      <c r="K11" s="42" t="s">
        <v>182</v>
      </c>
      <c r="L11" s="42" t="s">
        <v>183</v>
      </c>
      <c r="M11" s="42" t="s">
        <v>306</v>
      </c>
      <c r="N11" s="42" t="s">
        <v>185</v>
      </c>
    </row>
    <row r="12" ht="109.5" customHeight="1">
      <c r="A12" s="42" t="s">
        <v>307</v>
      </c>
      <c r="B12" s="42" t="s">
        <v>132</v>
      </c>
      <c r="C12" s="42" t="s">
        <v>308</v>
      </c>
      <c r="D12" s="42" t="s">
        <v>309</v>
      </c>
      <c r="E12" s="42" t="s">
        <v>310</v>
      </c>
      <c r="F12" s="42" t="s">
        <v>311</v>
      </c>
      <c r="G12" s="42" t="s">
        <v>312</v>
      </c>
      <c r="H12" s="42" t="s">
        <v>314</v>
      </c>
      <c r="I12" s="42" t="s">
        <v>315</v>
      </c>
      <c r="J12" s="42" t="s">
        <v>181</v>
      </c>
      <c r="K12" s="42" t="s">
        <v>182</v>
      </c>
      <c r="L12" s="42" t="s">
        <v>183</v>
      </c>
      <c r="M12" s="42" t="s">
        <v>317</v>
      </c>
      <c r="N12" s="42" t="s">
        <v>185</v>
      </c>
    </row>
    <row r="13" ht="109.5" customHeight="1">
      <c r="A13" s="42" t="s">
        <v>319</v>
      </c>
      <c r="B13" s="42" t="s">
        <v>320</v>
      </c>
      <c r="C13" s="42" t="s">
        <v>133</v>
      </c>
      <c r="D13" s="42" t="s">
        <v>320</v>
      </c>
      <c r="E13" s="42" t="s">
        <v>324</v>
      </c>
      <c r="F13" s="42" t="s">
        <v>326</v>
      </c>
      <c r="G13" s="42" t="s">
        <v>327</v>
      </c>
      <c r="H13" s="42" t="s">
        <v>329</v>
      </c>
      <c r="I13" s="42" t="s">
        <v>330</v>
      </c>
      <c r="J13" s="42" t="s">
        <v>332</v>
      </c>
      <c r="K13" s="42" t="s">
        <v>333</v>
      </c>
      <c r="L13" s="42" t="s">
        <v>334</v>
      </c>
      <c r="M13" s="42" t="s">
        <v>336</v>
      </c>
      <c r="N13" s="42" t="s">
        <v>185</v>
      </c>
    </row>
    <row r="14" ht="109.5" customHeight="1">
      <c r="A14" s="42" t="s">
        <v>337</v>
      </c>
      <c r="B14" s="42" t="s">
        <v>320</v>
      </c>
      <c r="C14" s="42" t="s">
        <v>189</v>
      </c>
      <c r="D14" s="42" t="s">
        <v>338</v>
      </c>
      <c r="E14" s="42" t="s">
        <v>339</v>
      </c>
      <c r="F14" s="42" t="s">
        <v>340</v>
      </c>
      <c r="G14" s="42" t="s">
        <v>341</v>
      </c>
      <c r="H14" s="42" t="s">
        <v>342</v>
      </c>
      <c r="I14" s="42" t="s">
        <v>343</v>
      </c>
      <c r="J14" s="42" t="s">
        <v>332</v>
      </c>
      <c r="K14" s="42" t="s">
        <v>333</v>
      </c>
      <c r="L14" s="42" t="s">
        <v>334</v>
      </c>
      <c r="M14" s="42" t="s">
        <v>345</v>
      </c>
      <c r="N14" s="42" t="s">
        <v>185</v>
      </c>
    </row>
    <row r="15" ht="109.5" customHeight="1">
      <c r="A15" s="42" t="s">
        <v>347</v>
      </c>
      <c r="B15" s="42" t="s">
        <v>320</v>
      </c>
      <c r="C15" s="42" t="s">
        <v>201</v>
      </c>
      <c r="D15" s="42" t="s">
        <v>353</v>
      </c>
      <c r="E15" s="42" t="s">
        <v>355</v>
      </c>
      <c r="F15" s="42" t="s">
        <v>356</v>
      </c>
      <c r="G15" s="42" t="s">
        <v>357</v>
      </c>
      <c r="H15" s="42" t="s">
        <v>358</v>
      </c>
      <c r="I15" s="42" t="s">
        <v>359</v>
      </c>
      <c r="J15" s="42" t="s">
        <v>332</v>
      </c>
      <c r="K15" s="42" t="s">
        <v>333</v>
      </c>
      <c r="L15" s="42" t="s">
        <v>334</v>
      </c>
      <c r="M15" s="42" t="s">
        <v>360</v>
      </c>
      <c r="N15" s="42" t="s">
        <v>185</v>
      </c>
    </row>
    <row r="16" ht="109.5" customHeight="1">
      <c r="A16" s="42" t="s">
        <v>362</v>
      </c>
      <c r="B16" s="42" t="s">
        <v>320</v>
      </c>
      <c r="C16" s="42" t="s">
        <v>214</v>
      </c>
      <c r="D16" s="42" t="s">
        <v>367</v>
      </c>
      <c r="E16" s="42" t="s">
        <v>368</v>
      </c>
      <c r="F16" s="42" t="s">
        <v>369</v>
      </c>
      <c r="G16" s="42" t="s">
        <v>371</v>
      </c>
      <c r="H16" s="42" t="s">
        <v>372</v>
      </c>
      <c r="I16" s="42" t="s">
        <v>373</v>
      </c>
      <c r="J16" s="42" t="s">
        <v>332</v>
      </c>
      <c r="K16" s="42" t="s">
        <v>333</v>
      </c>
      <c r="L16" s="42" t="s">
        <v>334</v>
      </c>
      <c r="M16" s="42" t="s">
        <v>375</v>
      </c>
      <c r="N16" s="42" t="s">
        <v>185</v>
      </c>
    </row>
    <row r="17" ht="109.5" customHeight="1">
      <c r="A17" s="42" t="s">
        <v>376</v>
      </c>
      <c r="B17" s="42" t="s">
        <v>320</v>
      </c>
      <c r="C17" s="42" t="s">
        <v>227</v>
      </c>
      <c r="D17" s="42" t="s">
        <v>377</v>
      </c>
      <c r="E17" s="42" t="s">
        <v>379</v>
      </c>
      <c r="F17" s="42" t="s">
        <v>381</v>
      </c>
      <c r="G17" s="42" t="s">
        <v>384</v>
      </c>
      <c r="H17" s="42" t="s">
        <v>385</v>
      </c>
      <c r="I17" s="42" t="s">
        <v>387</v>
      </c>
      <c r="J17" s="42" t="s">
        <v>332</v>
      </c>
      <c r="K17" s="42" t="s">
        <v>333</v>
      </c>
      <c r="L17" s="42" t="s">
        <v>334</v>
      </c>
      <c r="M17" s="42" t="s">
        <v>389</v>
      </c>
      <c r="N17" s="42" t="s">
        <v>185</v>
      </c>
    </row>
    <row r="18" ht="109.5" customHeight="1">
      <c r="A18" s="42" t="s">
        <v>390</v>
      </c>
      <c r="B18" s="42" t="s">
        <v>320</v>
      </c>
      <c r="C18" s="42" t="s">
        <v>243</v>
      </c>
      <c r="D18" s="42" t="s">
        <v>392</v>
      </c>
      <c r="E18" s="42" t="s">
        <v>393</v>
      </c>
      <c r="F18" s="42" t="s">
        <v>394</v>
      </c>
      <c r="G18" s="42" t="s">
        <v>398</v>
      </c>
      <c r="H18" s="42" t="s">
        <v>400</v>
      </c>
      <c r="I18" s="42" t="s">
        <v>401</v>
      </c>
      <c r="J18" s="42" t="s">
        <v>332</v>
      </c>
      <c r="K18" s="42" t="s">
        <v>333</v>
      </c>
      <c r="L18" s="42" t="s">
        <v>334</v>
      </c>
      <c r="M18" s="42" t="s">
        <v>403</v>
      </c>
      <c r="N18" s="42" t="s">
        <v>185</v>
      </c>
    </row>
    <row r="19" ht="109.5" customHeight="1">
      <c r="A19" s="42" t="s">
        <v>404</v>
      </c>
      <c r="B19" s="42" t="s">
        <v>320</v>
      </c>
      <c r="C19" s="42" t="s">
        <v>256</v>
      </c>
      <c r="D19" s="42" t="s">
        <v>405</v>
      </c>
      <c r="E19" s="42" t="s">
        <v>406</v>
      </c>
      <c r="F19" s="42" t="s">
        <v>407</v>
      </c>
      <c r="G19" s="42" t="s">
        <v>409</v>
      </c>
      <c r="H19" s="42" t="s">
        <v>410</v>
      </c>
      <c r="I19" s="42" t="s">
        <v>412</v>
      </c>
      <c r="J19" s="42" t="s">
        <v>332</v>
      </c>
      <c r="K19" s="42" t="s">
        <v>333</v>
      </c>
      <c r="L19" s="42" t="s">
        <v>334</v>
      </c>
      <c r="M19" s="42" t="s">
        <v>417</v>
      </c>
      <c r="N19" s="42" t="s">
        <v>185</v>
      </c>
    </row>
    <row r="20" ht="109.5" customHeight="1">
      <c r="A20" s="42" t="s">
        <v>419</v>
      </c>
      <c r="B20" s="42" t="s">
        <v>320</v>
      </c>
      <c r="C20" s="42" t="s">
        <v>271</v>
      </c>
      <c r="D20" s="42" t="s">
        <v>421</v>
      </c>
      <c r="E20" s="42" t="s">
        <v>422</v>
      </c>
      <c r="F20" s="42" t="s">
        <v>423</v>
      </c>
      <c r="G20" s="42" t="s">
        <v>424</v>
      </c>
      <c r="H20" s="42" t="s">
        <v>425</v>
      </c>
      <c r="I20" s="42" t="s">
        <v>427</v>
      </c>
      <c r="J20" s="42" t="s">
        <v>332</v>
      </c>
      <c r="K20" s="42" t="s">
        <v>333</v>
      </c>
      <c r="L20" s="42" t="s">
        <v>334</v>
      </c>
      <c r="M20" s="42" t="s">
        <v>433</v>
      </c>
      <c r="N20" s="42" t="s">
        <v>185</v>
      </c>
    </row>
    <row r="21" ht="109.5" customHeight="1">
      <c r="A21" s="42" t="s">
        <v>434</v>
      </c>
      <c r="B21" s="42" t="s">
        <v>320</v>
      </c>
      <c r="C21" s="42" t="s">
        <v>281</v>
      </c>
      <c r="D21" s="42" t="s">
        <v>436</v>
      </c>
      <c r="E21" s="42" t="s">
        <v>437</v>
      </c>
      <c r="F21" s="42" t="s">
        <v>440</v>
      </c>
      <c r="G21" s="42" t="s">
        <v>443</v>
      </c>
      <c r="H21" s="42" t="s">
        <v>445</v>
      </c>
      <c r="I21" s="42" t="s">
        <v>446</v>
      </c>
      <c r="J21" s="42" t="s">
        <v>332</v>
      </c>
      <c r="K21" s="42" t="s">
        <v>333</v>
      </c>
      <c r="L21" s="42" t="s">
        <v>334</v>
      </c>
      <c r="M21" s="42" t="s">
        <v>447</v>
      </c>
      <c r="N21" s="42" t="s">
        <v>185</v>
      </c>
    </row>
    <row r="22" ht="109.5" customHeight="1">
      <c r="A22" s="42" t="s">
        <v>449</v>
      </c>
      <c r="B22" s="42" t="s">
        <v>320</v>
      </c>
      <c r="C22" s="42" t="s">
        <v>292</v>
      </c>
      <c r="D22" s="42" t="s">
        <v>272</v>
      </c>
      <c r="E22" s="42" t="s">
        <v>455</v>
      </c>
      <c r="F22" s="42" t="s">
        <v>457</v>
      </c>
      <c r="G22" s="42" t="s">
        <v>458</v>
      </c>
      <c r="H22" s="42" t="s">
        <v>459</v>
      </c>
      <c r="I22" s="42" t="s">
        <v>460</v>
      </c>
      <c r="J22" s="42" t="s">
        <v>332</v>
      </c>
      <c r="K22" s="42" t="s">
        <v>333</v>
      </c>
      <c r="L22" s="42" t="s">
        <v>334</v>
      </c>
      <c r="M22" s="42" t="s">
        <v>462</v>
      </c>
      <c r="N22" s="42" t="s">
        <v>185</v>
      </c>
    </row>
    <row r="23" ht="109.5" customHeight="1">
      <c r="A23" s="42" t="s">
        <v>468</v>
      </c>
      <c r="B23" s="42" t="s">
        <v>320</v>
      </c>
      <c r="C23" s="42" t="s">
        <v>308</v>
      </c>
      <c r="D23" s="42" t="s">
        <v>469</v>
      </c>
      <c r="E23" s="42" t="s">
        <v>470</v>
      </c>
      <c r="F23" s="42" t="s">
        <v>472</v>
      </c>
      <c r="G23" s="42" t="s">
        <v>473</v>
      </c>
      <c r="H23" s="42" t="s">
        <v>476</v>
      </c>
      <c r="I23" s="42" t="s">
        <v>479</v>
      </c>
      <c r="J23" s="42" t="s">
        <v>332</v>
      </c>
      <c r="K23" s="42" t="s">
        <v>333</v>
      </c>
      <c r="L23" s="42" t="s">
        <v>334</v>
      </c>
      <c r="M23" s="42" t="s">
        <v>480</v>
      </c>
      <c r="N23" s="42" t="s">
        <v>185</v>
      </c>
    </row>
    <row r="24" ht="109.5" customHeight="1">
      <c r="A24" s="42" t="s">
        <v>482</v>
      </c>
      <c r="B24" s="42" t="s">
        <v>483</v>
      </c>
      <c r="C24" s="42" t="s">
        <v>133</v>
      </c>
      <c r="D24" s="42" t="s">
        <v>484</v>
      </c>
      <c r="E24" s="42" t="s">
        <v>487</v>
      </c>
      <c r="F24" s="42" t="s">
        <v>490</v>
      </c>
      <c r="G24" s="42" t="s">
        <v>492</v>
      </c>
      <c r="H24" s="42" t="s">
        <v>493</v>
      </c>
      <c r="I24" s="42" t="s">
        <v>495</v>
      </c>
      <c r="J24" s="42" t="s">
        <v>496</v>
      </c>
      <c r="K24" s="42" t="s">
        <v>497</v>
      </c>
      <c r="L24" s="42" t="s">
        <v>497</v>
      </c>
      <c r="M24" s="42" t="s">
        <v>498</v>
      </c>
      <c r="N24" s="42" t="s">
        <v>185</v>
      </c>
    </row>
    <row r="25" ht="109.5" customHeight="1">
      <c r="A25" s="42" t="s">
        <v>500</v>
      </c>
      <c r="B25" s="42" t="s">
        <v>483</v>
      </c>
      <c r="C25" s="42" t="s">
        <v>189</v>
      </c>
      <c r="D25" s="42" t="s">
        <v>505</v>
      </c>
      <c r="E25" s="42" t="s">
        <v>506</v>
      </c>
      <c r="F25" s="42" t="s">
        <v>507</v>
      </c>
      <c r="G25" s="42" t="s">
        <v>508</v>
      </c>
      <c r="H25" s="42" t="s">
        <v>509</v>
      </c>
      <c r="I25" s="42" t="s">
        <v>510</v>
      </c>
      <c r="J25" s="42" t="s">
        <v>496</v>
      </c>
      <c r="K25" s="42" t="s">
        <v>497</v>
      </c>
      <c r="L25" s="42" t="s">
        <v>497</v>
      </c>
      <c r="M25" s="42" t="s">
        <v>516</v>
      </c>
      <c r="N25" s="42" t="s">
        <v>185</v>
      </c>
    </row>
    <row r="26" ht="109.5" customHeight="1">
      <c r="A26" s="42" t="s">
        <v>518</v>
      </c>
      <c r="B26" s="42" t="s">
        <v>483</v>
      </c>
      <c r="C26" s="42" t="s">
        <v>201</v>
      </c>
      <c r="D26" s="42" t="s">
        <v>519</v>
      </c>
      <c r="E26" s="42" t="s">
        <v>520</v>
      </c>
      <c r="F26" s="42" t="s">
        <v>521</v>
      </c>
      <c r="G26" s="42" t="s">
        <v>522</v>
      </c>
      <c r="H26" s="42" t="s">
        <v>524</v>
      </c>
      <c r="I26" s="42" t="s">
        <v>525</v>
      </c>
      <c r="J26" s="42" t="s">
        <v>496</v>
      </c>
      <c r="K26" s="42" t="s">
        <v>497</v>
      </c>
      <c r="L26" s="42" t="s">
        <v>497</v>
      </c>
      <c r="M26" s="42" t="s">
        <v>530</v>
      </c>
      <c r="N26" s="42" t="s">
        <v>185</v>
      </c>
    </row>
    <row r="27" ht="109.5" customHeight="1">
      <c r="A27" s="42" t="s">
        <v>533</v>
      </c>
      <c r="B27" s="42" t="s">
        <v>483</v>
      </c>
      <c r="C27" s="42" t="s">
        <v>214</v>
      </c>
      <c r="D27" s="42" t="s">
        <v>534</v>
      </c>
      <c r="E27" s="42" t="s">
        <v>535</v>
      </c>
      <c r="F27" s="42" t="s">
        <v>536</v>
      </c>
      <c r="G27" s="42" t="s">
        <v>537</v>
      </c>
      <c r="H27" s="42" t="s">
        <v>539</v>
      </c>
      <c r="I27" s="42" t="s">
        <v>540</v>
      </c>
      <c r="J27" s="42" t="s">
        <v>496</v>
      </c>
      <c r="K27" s="42" t="s">
        <v>497</v>
      </c>
      <c r="L27" s="42" t="s">
        <v>497</v>
      </c>
      <c r="M27" s="42" t="s">
        <v>542</v>
      </c>
      <c r="N27" s="42" t="s">
        <v>185</v>
      </c>
    </row>
    <row r="28" ht="109.5" customHeight="1">
      <c r="A28" s="42" t="s">
        <v>544</v>
      </c>
      <c r="B28" s="42" t="s">
        <v>483</v>
      </c>
      <c r="C28" s="42" t="s">
        <v>227</v>
      </c>
      <c r="D28" s="42" t="s">
        <v>549</v>
      </c>
      <c r="E28" s="42" t="s">
        <v>551</v>
      </c>
      <c r="F28" s="42" t="s">
        <v>552</v>
      </c>
      <c r="G28" s="42" t="s">
        <v>553</v>
      </c>
      <c r="H28" s="42" t="s">
        <v>554</v>
      </c>
      <c r="I28" s="42" t="s">
        <v>555</v>
      </c>
      <c r="J28" s="42" t="s">
        <v>496</v>
      </c>
      <c r="K28" s="42" t="s">
        <v>497</v>
      </c>
      <c r="L28" s="42" t="s">
        <v>497</v>
      </c>
      <c r="M28" s="42" t="s">
        <v>557</v>
      </c>
      <c r="N28" s="42" t="s">
        <v>185</v>
      </c>
    </row>
    <row r="29" ht="109.5" customHeight="1">
      <c r="A29" s="42" t="s">
        <v>558</v>
      </c>
      <c r="B29" s="42" t="s">
        <v>483</v>
      </c>
      <c r="C29" s="42" t="s">
        <v>243</v>
      </c>
      <c r="D29" s="42" t="s">
        <v>562</v>
      </c>
      <c r="E29" s="42" t="s">
        <v>565</v>
      </c>
      <c r="F29" s="42" t="s">
        <v>567</v>
      </c>
      <c r="G29" s="42" t="s">
        <v>568</v>
      </c>
      <c r="H29" s="42" t="s">
        <v>569</v>
      </c>
      <c r="I29" s="42" t="s">
        <v>570</v>
      </c>
      <c r="J29" s="42" t="s">
        <v>496</v>
      </c>
      <c r="K29" s="42" t="s">
        <v>497</v>
      </c>
      <c r="L29" s="42" t="s">
        <v>497</v>
      </c>
      <c r="M29" s="42" t="s">
        <v>571</v>
      </c>
      <c r="N29" s="42" t="s">
        <v>185</v>
      </c>
    </row>
    <row r="30" ht="109.5" customHeight="1">
      <c r="A30" s="42" t="s">
        <v>572</v>
      </c>
      <c r="B30" s="42" t="s">
        <v>483</v>
      </c>
      <c r="C30" s="42" t="s">
        <v>256</v>
      </c>
      <c r="D30" s="42" t="s">
        <v>574</v>
      </c>
      <c r="E30" s="42" t="s">
        <v>575</v>
      </c>
      <c r="F30" s="42" t="s">
        <v>579</v>
      </c>
      <c r="G30" s="42" t="s">
        <v>581</v>
      </c>
      <c r="H30" s="42" t="s">
        <v>582</v>
      </c>
      <c r="I30" s="42" t="s">
        <v>583</v>
      </c>
      <c r="J30" s="42" t="s">
        <v>496</v>
      </c>
      <c r="K30" s="42" t="s">
        <v>497</v>
      </c>
      <c r="L30" s="42" t="s">
        <v>497</v>
      </c>
      <c r="M30" s="42" t="s">
        <v>585</v>
      </c>
      <c r="N30" s="42" t="s">
        <v>185</v>
      </c>
    </row>
    <row r="31" ht="109.5" customHeight="1">
      <c r="A31" s="42" t="s">
        <v>586</v>
      </c>
      <c r="B31" s="42" t="s">
        <v>483</v>
      </c>
      <c r="C31" s="42" t="s">
        <v>271</v>
      </c>
      <c r="D31" s="42" t="s">
        <v>591</v>
      </c>
      <c r="E31" s="42" t="s">
        <v>593</v>
      </c>
      <c r="F31" s="42" t="s">
        <v>594</v>
      </c>
      <c r="G31" s="42" t="s">
        <v>596</v>
      </c>
      <c r="H31" s="42" t="s">
        <v>597</v>
      </c>
      <c r="I31" s="42" t="s">
        <v>598</v>
      </c>
      <c r="J31" s="42" t="s">
        <v>496</v>
      </c>
      <c r="K31" s="42" t="s">
        <v>497</v>
      </c>
      <c r="L31" s="42" t="s">
        <v>497</v>
      </c>
      <c r="M31" s="42" t="s">
        <v>600</v>
      </c>
      <c r="N31" s="42" t="s">
        <v>185</v>
      </c>
    </row>
    <row r="32" ht="109.5" customHeight="1">
      <c r="A32" s="42" t="s">
        <v>602</v>
      </c>
      <c r="B32" s="42" t="s">
        <v>483</v>
      </c>
      <c r="C32" s="42" t="s">
        <v>281</v>
      </c>
      <c r="D32" s="42" t="s">
        <v>604</v>
      </c>
      <c r="E32" s="42" t="s">
        <v>605</v>
      </c>
      <c r="F32" s="42" t="s">
        <v>608</v>
      </c>
      <c r="G32" s="42" t="s">
        <v>611</v>
      </c>
      <c r="H32" s="42" t="s">
        <v>612</v>
      </c>
      <c r="I32" s="42" t="s">
        <v>613</v>
      </c>
      <c r="J32" s="42" t="s">
        <v>496</v>
      </c>
      <c r="K32" s="42" t="s">
        <v>497</v>
      </c>
      <c r="L32" s="42" t="s">
        <v>497</v>
      </c>
      <c r="M32" s="42" t="s">
        <v>614</v>
      </c>
      <c r="N32" s="42" t="s">
        <v>185</v>
      </c>
    </row>
    <row r="33" ht="109.5" customHeight="1">
      <c r="A33" s="42" t="s">
        <v>616</v>
      </c>
      <c r="B33" s="42" t="s">
        <v>483</v>
      </c>
      <c r="C33" s="42" t="s">
        <v>292</v>
      </c>
      <c r="D33" s="42" t="s">
        <v>622</v>
      </c>
      <c r="E33" s="42" t="s">
        <v>623</v>
      </c>
      <c r="F33" s="42" t="s">
        <v>624</v>
      </c>
      <c r="G33" s="42" t="s">
        <v>625</v>
      </c>
      <c r="H33" s="42" t="s">
        <v>626</v>
      </c>
      <c r="I33" s="42" t="s">
        <v>627</v>
      </c>
      <c r="J33" s="42" t="s">
        <v>496</v>
      </c>
      <c r="K33" s="42" t="s">
        <v>497</v>
      </c>
      <c r="L33" s="42" t="s">
        <v>497</v>
      </c>
      <c r="M33" s="42" t="s">
        <v>633</v>
      </c>
      <c r="N33" s="42" t="s">
        <v>185</v>
      </c>
    </row>
    <row r="34" ht="109.5" customHeight="1">
      <c r="A34" s="42" t="s">
        <v>635</v>
      </c>
      <c r="B34" s="42" t="s">
        <v>483</v>
      </c>
      <c r="C34" s="42" t="s">
        <v>308</v>
      </c>
      <c r="D34" s="42" t="s">
        <v>636</v>
      </c>
      <c r="E34" s="42" t="s">
        <v>637</v>
      </c>
      <c r="F34" s="42" t="s">
        <v>638</v>
      </c>
      <c r="G34" s="42" t="s">
        <v>639</v>
      </c>
      <c r="H34" s="42" t="s">
        <v>640</v>
      </c>
      <c r="I34" s="42" t="s">
        <v>641</v>
      </c>
      <c r="J34" s="42" t="s">
        <v>496</v>
      </c>
      <c r="K34" s="42" t="s">
        <v>497</v>
      </c>
      <c r="L34" s="42" t="s">
        <v>497</v>
      </c>
      <c r="M34" s="42" t="s">
        <v>642</v>
      </c>
      <c r="N34" s="42" t="s">
        <v>185</v>
      </c>
    </row>
    <row r="35" ht="109.5" customHeight="1">
      <c r="A35" s="65" t="s">
        <v>644</v>
      </c>
      <c r="B35" s="65" t="s">
        <v>483</v>
      </c>
      <c r="C35" s="65" t="s">
        <v>645</v>
      </c>
      <c r="D35" s="65" t="s">
        <v>646</v>
      </c>
      <c r="E35" s="65" t="s">
        <v>647</v>
      </c>
      <c r="F35" s="65" t="s">
        <v>649</v>
      </c>
      <c r="G35" s="65" t="s">
        <v>651</v>
      </c>
      <c r="H35" s="65" t="s">
        <v>653</v>
      </c>
      <c r="I35" s="65" t="s">
        <v>654</v>
      </c>
      <c r="J35" s="65" t="s">
        <v>496</v>
      </c>
      <c r="K35" s="65" t="s">
        <v>497</v>
      </c>
      <c r="L35" s="65" t="s">
        <v>497</v>
      </c>
      <c r="M35" s="65" t="s">
        <v>656</v>
      </c>
      <c r="N35" s="65" t="s">
        <v>185</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7.0"/>
    <col customWidth="1" min="2" max="2" width="10.0"/>
    <col customWidth="1" min="3" max="3" width="7.0"/>
    <col customWidth="1" min="4" max="4" width="8.0"/>
    <col customWidth="1" min="5" max="5" width="11.0"/>
    <col customWidth="1" min="6" max="7" width="18.0"/>
    <col customWidth="1" min="8" max="10" width="13.0"/>
    <col customWidth="1" min="11" max="11" width="23.0"/>
    <col customWidth="1" min="12" max="12" width="11.0"/>
    <col customWidth="1" min="13" max="13" width="25.0"/>
    <col customWidth="1" min="14" max="14" width="33.0"/>
    <col customWidth="1" min="15" max="17" width="45.0"/>
    <col customWidth="1" min="18" max="18" width="55.0"/>
    <col customWidth="1" min="19" max="19" width="45.0"/>
    <col customWidth="1" min="20" max="20" width="34.0"/>
    <col customWidth="1" min="21" max="26" width="8.63"/>
  </cols>
  <sheetData>
    <row r="1">
      <c r="A1" s="29" t="s">
        <v>149</v>
      </c>
      <c r="B1" s="29" t="s">
        <v>57</v>
      </c>
      <c r="C1" s="29" t="s">
        <v>150</v>
      </c>
      <c r="D1" s="29" t="s">
        <v>92</v>
      </c>
      <c r="E1" s="29" t="s">
        <v>153</v>
      </c>
      <c r="F1" s="29" t="s">
        <v>155</v>
      </c>
      <c r="G1" s="29" t="s">
        <v>157</v>
      </c>
      <c r="H1" s="29" t="s">
        <v>158</v>
      </c>
      <c r="I1" s="29" t="s">
        <v>160</v>
      </c>
      <c r="J1" s="29" t="s">
        <v>162</v>
      </c>
      <c r="K1" s="29" t="s">
        <v>85</v>
      </c>
      <c r="L1" s="29" t="s">
        <v>51</v>
      </c>
      <c r="M1" s="29" t="s">
        <v>91</v>
      </c>
      <c r="N1" s="29" t="s">
        <v>167</v>
      </c>
      <c r="O1" s="29" t="s">
        <v>111</v>
      </c>
      <c r="P1" s="29" t="s">
        <v>114</v>
      </c>
      <c r="Q1" s="29" t="s">
        <v>170</v>
      </c>
      <c r="R1" s="29" t="s">
        <v>173</v>
      </c>
      <c r="S1" s="29" t="s">
        <v>174</v>
      </c>
      <c r="T1" s="29" t="s">
        <v>163</v>
      </c>
    </row>
    <row r="2" ht="57.75" customHeight="1">
      <c r="A2" s="36">
        <v>1.0</v>
      </c>
      <c r="B2" s="36">
        <v>1.0</v>
      </c>
      <c r="C2" s="36" t="s">
        <v>179</v>
      </c>
      <c r="D2" s="36">
        <v>1.0</v>
      </c>
      <c r="E2" s="36">
        <v>0.0</v>
      </c>
      <c r="F2" s="58">
        <f>CONFIG!$B$8+(D2-1)*CONFIG!$B$14-CONFIG!$B$15</f>
        <v>46239</v>
      </c>
      <c r="G2" s="58">
        <f>CONFIG!$B$8+(B2-1)*7-CONFIG!$B$16</f>
        <v>46239</v>
      </c>
      <c r="H2" s="58">
        <f>CONFIG!$B$8+E2</f>
        <v>46241</v>
      </c>
      <c r="I2" s="58">
        <f t="shared" ref="I2:I35" si="1">H2+1</f>
        <v>46242</v>
      </c>
      <c r="J2" s="58">
        <f t="shared" ref="J2:J35" si="2">H2+2</f>
        <v>46243</v>
      </c>
      <c r="K2" s="36" t="s">
        <v>132</v>
      </c>
      <c r="L2" s="36" t="s">
        <v>133</v>
      </c>
      <c r="M2" s="36" t="s">
        <v>132</v>
      </c>
      <c r="N2" s="36" t="s">
        <v>208</v>
      </c>
      <c r="O2" s="36" t="s">
        <v>136</v>
      </c>
      <c r="P2" s="36" t="s">
        <v>137</v>
      </c>
      <c r="Q2" s="36" t="s">
        <v>210</v>
      </c>
      <c r="R2" s="36" t="s">
        <v>211</v>
      </c>
      <c r="S2" s="36" t="s">
        <v>184</v>
      </c>
      <c r="T2" s="36" t="s">
        <v>181</v>
      </c>
    </row>
    <row r="3" ht="57.75" customHeight="1">
      <c r="A3" s="42">
        <v>2.0</v>
      </c>
      <c r="B3" s="42">
        <v>1.0</v>
      </c>
      <c r="C3" s="42" t="s">
        <v>218</v>
      </c>
      <c r="D3" s="42">
        <v>1.0</v>
      </c>
      <c r="E3" s="42">
        <v>3.0</v>
      </c>
      <c r="F3" s="59">
        <f>CONFIG!$B$8+(D3-1)*CONFIG!$B$14-CONFIG!$B$15</f>
        <v>46239</v>
      </c>
      <c r="G3" s="59">
        <f>CONFIG!$B$8+(B3-1)*7-CONFIG!$B$16</f>
        <v>46239</v>
      </c>
      <c r="H3" s="59">
        <f>CONFIG!$B$8+E3</f>
        <v>46244</v>
      </c>
      <c r="I3" s="59">
        <f t="shared" si="1"/>
        <v>46245</v>
      </c>
      <c r="J3" s="59">
        <f t="shared" si="2"/>
        <v>46246</v>
      </c>
      <c r="K3" s="42" t="s">
        <v>132</v>
      </c>
      <c r="L3" s="42" t="s">
        <v>189</v>
      </c>
      <c r="M3" s="42" t="s">
        <v>190</v>
      </c>
      <c r="N3" s="42" t="s">
        <v>208</v>
      </c>
      <c r="O3" s="42" t="s">
        <v>236</v>
      </c>
      <c r="P3" s="42" t="s">
        <v>237</v>
      </c>
      <c r="Q3" s="42" t="s">
        <v>238</v>
      </c>
      <c r="R3" s="42" t="s">
        <v>241</v>
      </c>
      <c r="S3" s="42" t="s">
        <v>199</v>
      </c>
      <c r="T3" s="42" t="s">
        <v>181</v>
      </c>
    </row>
    <row r="4" ht="57.75" customHeight="1">
      <c r="A4" s="42">
        <v>3.0</v>
      </c>
      <c r="B4" s="42">
        <v>2.0</v>
      </c>
      <c r="C4" s="42" t="s">
        <v>179</v>
      </c>
      <c r="D4" s="42">
        <v>1.0</v>
      </c>
      <c r="E4" s="42">
        <v>7.0</v>
      </c>
      <c r="F4" s="59">
        <f>CONFIG!$B$8+(D4-1)*CONFIG!$B$14-CONFIG!$B$15</f>
        <v>46239</v>
      </c>
      <c r="G4" s="59">
        <f>CONFIG!$B$8+(B4-1)*7-CONFIG!$B$16</f>
        <v>46246</v>
      </c>
      <c r="H4" s="59">
        <f>CONFIG!$B$8+E4</f>
        <v>46248</v>
      </c>
      <c r="I4" s="59">
        <f t="shared" si="1"/>
        <v>46249</v>
      </c>
      <c r="J4" s="59">
        <f t="shared" si="2"/>
        <v>46250</v>
      </c>
      <c r="K4" s="42" t="s">
        <v>132</v>
      </c>
      <c r="L4" s="42" t="s">
        <v>201</v>
      </c>
      <c r="M4" s="42" t="s">
        <v>202</v>
      </c>
      <c r="N4" s="42" t="s">
        <v>208</v>
      </c>
      <c r="O4" s="42" t="s">
        <v>264</v>
      </c>
      <c r="P4" s="42" t="s">
        <v>266</v>
      </c>
      <c r="Q4" s="42" t="s">
        <v>268</v>
      </c>
      <c r="R4" s="42" t="s">
        <v>270</v>
      </c>
      <c r="S4" s="42" t="s">
        <v>209</v>
      </c>
      <c r="T4" s="42" t="s">
        <v>181</v>
      </c>
    </row>
    <row r="5" ht="57.75" customHeight="1">
      <c r="A5" s="42">
        <v>4.0</v>
      </c>
      <c r="B5" s="42">
        <v>2.0</v>
      </c>
      <c r="C5" s="42" t="s">
        <v>218</v>
      </c>
      <c r="D5" s="42">
        <v>1.0</v>
      </c>
      <c r="E5" s="42">
        <v>10.0</v>
      </c>
      <c r="F5" s="59">
        <f>CONFIG!$B$8+(D5-1)*CONFIG!$B$14-CONFIG!$B$15</f>
        <v>46239</v>
      </c>
      <c r="G5" s="59">
        <f>CONFIG!$B$8+(B5-1)*7-CONFIG!$B$16</f>
        <v>46246</v>
      </c>
      <c r="H5" s="59">
        <f>CONFIG!$B$8+E5</f>
        <v>46251</v>
      </c>
      <c r="I5" s="59">
        <f t="shared" si="1"/>
        <v>46252</v>
      </c>
      <c r="J5" s="59">
        <f t="shared" si="2"/>
        <v>46253</v>
      </c>
      <c r="K5" s="42" t="s">
        <v>132</v>
      </c>
      <c r="L5" s="42" t="s">
        <v>214</v>
      </c>
      <c r="M5" s="42" t="s">
        <v>216</v>
      </c>
      <c r="N5" s="42" t="s">
        <v>208</v>
      </c>
      <c r="O5" s="42" t="s">
        <v>296</v>
      </c>
      <c r="P5" s="42" t="s">
        <v>297</v>
      </c>
      <c r="Q5" s="42" t="s">
        <v>299</v>
      </c>
      <c r="R5" s="42" t="s">
        <v>302</v>
      </c>
      <c r="S5" s="42" t="s">
        <v>224</v>
      </c>
      <c r="T5" s="42" t="s">
        <v>181</v>
      </c>
    </row>
    <row r="6" ht="57.75" customHeight="1">
      <c r="A6" s="42">
        <v>5.0</v>
      </c>
      <c r="B6" s="42">
        <v>3.0</v>
      </c>
      <c r="C6" s="42" t="s">
        <v>179</v>
      </c>
      <c r="D6" s="42">
        <v>1.0</v>
      </c>
      <c r="E6" s="42">
        <v>14.0</v>
      </c>
      <c r="F6" s="59">
        <f>CONFIG!$B$8+(D6-1)*CONFIG!$B$14-CONFIG!$B$15</f>
        <v>46239</v>
      </c>
      <c r="G6" s="59">
        <f>CONFIG!$B$8+(B6-1)*7-CONFIG!$B$16</f>
        <v>46253</v>
      </c>
      <c r="H6" s="59">
        <f>CONFIG!$B$8+E6</f>
        <v>46255</v>
      </c>
      <c r="I6" s="59">
        <f t="shared" si="1"/>
        <v>46256</v>
      </c>
      <c r="J6" s="59">
        <f t="shared" si="2"/>
        <v>46257</v>
      </c>
      <c r="K6" s="42" t="s">
        <v>132</v>
      </c>
      <c r="L6" s="42" t="s">
        <v>227</v>
      </c>
      <c r="M6" s="42" t="s">
        <v>228</v>
      </c>
      <c r="N6" s="42" t="s">
        <v>208</v>
      </c>
      <c r="O6" s="42" t="s">
        <v>318</v>
      </c>
      <c r="P6" s="42" t="s">
        <v>322</v>
      </c>
      <c r="Q6" s="42" t="s">
        <v>323</v>
      </c>
      <c r="R6" s="42" t="s">
        <v>325</v>
      </c>
      <c r="S6" s="42" t="s">
        <v>239</v>
      </c>
      <c r="T6" s="42" t="s">
        <v>181</v>
      </c>
    </row>
    <row r="7" ht="57.75" customHeight="1">
      <c r="A7" s="42">
        <v>6.0</v>
      </c>
      <c r="B7" s="42">
        <v>3.0</v>
      </c>
      <c r="C7" s="42" t="s">
        <v>218</v>
      </c>
      <c r="D7" s="42">
        <v>1.0</v>
      </c>
      <c r="E7" s="42">
        <v>17.0</v>
      </c>
      <c r="F7" s="59">
        <f>CONFIG!$B$8+(D7-1)*CONFIG!$B$14-CONFIG!$B$15</f>
        <v>46239</v>
      </c>
      <c r="G7" s="59">
        <f>CONFIG!$B$8+(B7-1)*7-CONFIG!$B$16</f>
        <v>46253</v>
      </c>
      <c r="H7" s="59">
        <f>CONFIG!$B$8+E7</f>
        <v>46258</v>
      </c>
      <c r="I7" s="59">
        <f t="shared" si="1"/>
        <v>46259</v>
      </c>
      <c r="J7" s="59">
        <f t="shared" si="2"/>
        <v>46260</v>
      </c>
      <c r="K7" s="42" t="s">
        <v>132</v>
      </c>
      <c r="L7" s="42" t="s">
        <v>243</v>
      </c>
      <c r="M7" s="42" t="s">
        <v>244</v>
      </c>
      <c r="N7" s="42" t="s">
        <v>208</v>
      </c>
      <c r="O7" s="42" t="s">
        <v>346</v>
      </c>
      <c r="P7" s="42" t="s">
        <v>348</v>
      </c>
      <c r="Q7" s="42" t="s">
        <v>349</v>
      </c>
      <c r="R7" s="42" t="s">
        <v>350</v>
      </c>
      <c r="S7" s="42" t="s">
        <v>253</v>
      </c>
      <c r="T7" s="42" t="s">
        <v>181</v>
      </c>
    </row>
    <row r="8" ht="57.75" customHeight="1">
      <c r="A8" s="42">
        <v>7.0</v>
      </c>
      <c r="B8" s="42">
        <v>4.0</v>
      </c>
      <c r="C8" s="42" t="s">
        <v>179</v>
      </c>
      <c r="D8" s="42">
        <v>1.0</v>
      </c>
      <c r="E8" s="42">
        <v>21.0</v>
      </c>
      <c r="F8" s="59">
        <f>CONFIG!$B$8+(D8-1)*CONFIG!$B$14-CONFIG!$B$15</f>
        <v>46239</v>
      </c>
      <c r="G8" s="59">
        <f>CONFIG!$B$8+(B8-1)*7-CONFIG!$B$16</f>
        <v>46260</v>
      </c>
      <c r="H8" s="59">
        <f>CONFIG!$B$8+E8</f>
        <v>46262</v>
      </c>
      <c r="I8" s="59">
        <f t="shared" si="1"/>
        <v>46263</v>
      </c>
      <c r="J8" s="59">
        <f t="shared" si="2"/>
        <v>46264</v>
      </c>
      <c r="K8" s="42" t="s">
        <v>132</v>
      </c>
      <c r="L8" s="42" t="s">
        <v>256</v>
      </c>
      <c r="M8" s="42" t="s">
        <v>257</v>
      </c>
      <c r="N8" s="42" t="s">
        <v>208</v>
      </c>
      <c r="O8" s="42" t="s">
        <v>363</v>
      </c>
      <c r="P8" s="42" t="s">
        <v>364</v>
      </c>
      <c r="Q8" s="42" t="s">
        <v>365</v>
      </c>
      <c r="R8" s="42" t="s">
        <v>366</v>
      </c>
      <c r="S8" s="42" t="s">
        <v>267</v>
      </c>
      <c r="T8" s="42" t="s">
        <v>181</v>
      </c>
    </row>
    <row r="9" ht="57.75" customHeight="1">
      <c r="A9" s="42">
        <v>8.0</v>
      </c>
      <c r="B9" s="42">
        <v>4.0</v>
      </c>
      <c r="C9" s="42" t="s">
        <v>218</v>
      </c>
      <c r="D9" s="42">
        <v>1.0</v>
      </c>
      <c r="E9" s="42">
        <v>24.0</v>
      </c>
      <c r="F9" s="59">
        <f>CONFIG!$B$8+(D9-1)*CONFIG!$B$14-CONFIG!$B$15</f>
        <v>46239</v>
      </c>
      <c r="G9" s="59">
        <f>CONFIG!$B$8+(B9-1)*7-CONFIG!$B$16</f>
        <v>46260</v>
      </c>
      <c r="H9" s="59">
        <f>CONFIG!$B$8+E9</f>
        <v>46265</v>
      </c>
      <c r="I9" s="59">
        <f t="shared" si="1"/>
        <v>46266</v>
      </c>
      <c r="J9" s="59">
        <f t="shared" si="2"/>
        <v>46267</v>
      </c>
      <c r="K9" s="42" t="s">
        <v>132</v>
      </c>
      <c r="L9" s="42" t="s">
        <v>271</v>
      </c>
      <c r="M9" s="42" t="s">
        <v>272</v>
      </c>
      <c r="N9" s="42" t="s">
        <v>208</v>
      </c>
      <c r="O9" s="42" t="s">
        <v>378</v>
      </c>
      <c r="P9" s="42" t="s">
        <v>380</v>
      </c>
      <c r="Q9" s="42" t="s">
        <v>382</v>
      </c>
      <c r="R9" s="42" t="s">
        <v>383</v>
      </c>
      <c r="S9" s="42" t="s">
        <v>279</v>
      </c>
      <c r="T9" s="42" t="s">
        <v>181</v>
      </c>
    </row>
    <row r="10" ht="57.75" customHeight="1">
      <c r="A10" s="42">
        <v>9.0</v>
      </c>
      <c r="B10" s="42">
        <v>5.0</v>
      </c>
      <c r="C10" s="42" t="s">
        <v>179</v>
      </c>
      <c r="D10" s="42">
        <v>2.0</v>
      </c>
      <c r="E10" s="42">
        <v>28.0</v>
      </c>
      <c r="F10" s="59">
        <f>CONFIG!$B$8+(D10-1)*CONFIG!$B$14-CONFIG!$B$15</f>
        <v>46267</v>
      </c>
      <c r="G10" s="59">
        <f>CONFIG!$B$8+(B10-1)*7-CONFIG!$B$16</f>
        <v>46267</v>
      </c>
      <c r="H10" s="59">
        <f>CONFIG!$B$8+E10</f>
        <v>46269</v>
      </c>
      <c r="I10" s="59">
        <f t="shared" si="1"/>
        <v>46270</v>
      </c>
      <c r="J10" s="59">
        <f t="shared" si="2"/>
        <v>46271</v>
      </c>
      <c r="K10" s="42" t="s">
        <v>132</v>
      </c>
      <c r="L10" s="42" t="s">
        <v>281</v>
      </c>
      <c r="M10" s="42" t="s">
        <v>282</v>
      </c>
      <c r="N10" s="42" t="s">
        <v>208</v>
      </c>
      <c r="O10" s="42" t="s">
        <v>395</v>
      </c>
      <c r="P10" s="42" t="s">
        <v>396</v>
      </c>
      <c r="Q10" s="42" t="s">
        <v>397</v>
      </c>
      <c r="R10" s="42" t="s">
        <v>399</v>
      </c>
      <c r="S10" s="42" t="s">
        <v>289</v>
      </c>
      <c r="T10" s="42" t="s">
        <v>181</v>
      </c>
    </row>
    <row r="11" ht="57.75" customHeight="1">
      <c r="A11" s="42">
        <v>10.0</v>
      </c>
      <c r="B11" s="42">
        <v>5.0</v>
      </c>
      <c r="C11" s="42" t="s">
        <v>218</v>
      </c>
      <c r="D11" s="42">
        <v>2.0</v>
      </c>
      <c r="E11" s="42">
        <v>31.0</v>
      </c>
      <c r="F11" s="59">
        <f>CONFIG!$B$8+(D11-1)*CONFIG!$B$14-CONFIG!$B$15</f>
        <v>46267</v>
      </c>
      <c r="G11" s="59">
        <f>CONFIG!$B$8+(B11-1)*7-CONFIG!$B$16</f>
        <v>46267</v>
      </c>
      <c r="H11" s="59">
        <f>CONFIG!$B$8+E11</f>
        <v>46272</v>
      </c>
      <c r="I11" s="59">
        <f t="shared" si="1"/>
        <v>46273</v>
      </c>
      <c r="J11" s="59">
        <f t="shared" si="2"/>
        <v>46274</v>
      </c>
      <c r="K11" s="42" t="s">
        <v>132</v>
      </c>
      <c r="L11" s="42" t="s">
        <v>292</v>
      </c>
      <c r="M11" s="42" t="s">
        <v>293</v>
      </c>
      <c r="N11" s="42" t="s">
        <v>208</v>
      </c>
      <c r="O11" s="42" t="s">
        <v>413</v>
      </c>
      <c r="P11" s="42" t="s">
        <v>414</v>
      </c>
      <c r="Q11" s="42" t="s">
        <v>415</v>
      </c>
      <c r="R11" s="42" t="s">
        <v>416</v>
      </c>
      <c r="S11" s="42" t="s">
        <v>306</v>
      </c>
      <c r="T11" s="42" t="s">
        <v>181</v>
      </c>
    </row>
    <row r="12" ht="57.75" customHeight="1">
      <c r="A12" s="42">
        <v>11.0</v>
      </c>
      <c r="B12" s="42">
        <v>6.0</v>
      </c>
      <c r="C12" s="42" t="s">
        <v>179</v>
      </c>
      <c r="D12" s="42">
        <v>2.0</v>
      </c>
      <c r="E12" s="42">
        <v>35.0</v>
      </c>
      <c r="F12" s="59">
        <f>CONFIG!$B$8+(D12-1)*CONFIG!$B$14-CONFIG!$B$15</f>
        <v>46267</v>
      </c>
      <c r="G12" s="59">
        <f>CONFIG!$B$8+(B12-1)*7-CONFIG!$B$16</f>
        <v>46274</v>
      </c>
      <c r="H12" s="59">
        <f>CONFIG!$B$8+E12</f>
        <v>46276</v>
      </c>
      <c r="I12" s="59">
        <f t="shared" si="1"/>
        <v>46277</v>
      </c>
      <c r="J12" s="59">
        <f t="shared" si="2"/>
        <v>46278</v>
      </c>
      <c r="K12" s="42" t="s">
        <v>132</v>
      </c>
      <c r="L12" s="42" t="s">
        <v>308</v>
      </c>
      <c r="M12" s="42" t="s">
        <v>309</v>
      </c>
      <c r="N12" s="42" t="s">
        <v>208</v>
      </c>
      <c r="O12" s="42" t="s">
        <v>426</v>
      </c>
      <c r="P12" s="42" t="s">
        <v>428</v>
      </c>
      <c r="Q12" s="42" t="s">
        <v>429</v>
      </c>
      <c r="R12" s="42" t="s">
        <v>430</v>
      </c>
      <c r="S12" s="42" t="s">
        <v>317</v>
      </c>
      <c r="T12" s="42" t="s">
        <v>181</v>
      </c>
    </row>
    <row r="13" ht="57.75" customHeight="1">
      <c r="A13" s="42">
        <v>12.0</v>
      </c>
      <c r="B13" s="42">
        <v>6.0</v>
      </c>
      <c r="C13" s="42" t="s">
        <v>218</v>
      </c>
      <c r="D13" s="42">
        <v>2.0</v>
      </c>
      <c r="E13" s="42">
        <v>38.0</v>
      </c>
      <c r="F13" s="59">
        <f>CONFIG!$B$8+(D13-1)*CONFIG!$B$14-CONFIG!$B$15</f>
        <v>46267</v>
      </c>
      <c r="G13" s="59">
        <f>CONFIG!$B$8+(B13-1)*7-CONFIG!$B$16</f>
        <v>46274</v>
      </c>
      <c r="H13" s="59">
        <f>CONFIG!$B$8+E13</f>
        <v>46279</v>
      </c>
      <c r="I13" s="59">
        <f t="shared" si="1"/>
        <v>46280</v>
      </c>
      <c r="J13" s="59">
        <f t="shared" si="2"/>
        <v>46281</v>
      </c>
      <c r="K13" s="42" t="s">
        <v>320</v>
      </c>
      <c r="L13" s="42" t="s">
        <v>133</v>
      </c>
      <c r="M13" s="42" t="s">
        <v>320</v>
      </c>
      <c r="N13" s="42" t="s">
        <v>438</v>
      </c>
      <c r="O13" s="42" t="s">
        <v>439</v>
      </c>
      <c r="P13" s="42" t="s">
        <v>441</v>
      </c>
      <c r="Q13" s="42" t="s">
        <v>442</v>
      </c>
      <c r="R13" s="42" t="s">
        <v>444</v>
      </c>
      <c r="S13" s="42" t="s">
        <v>336</v>
      </c>
      <c r="T13" s="42" t="s">
        <v>332</v>
      </c>
    </row>
    <row r="14" ht="57.75" customHeight="1">
      <c r="A14" s="42">
        <v>13.0</v>
      </c>
      <c r="B14" s="42">
        <v>7.0</v>
      </c>
      <c r="C14" s="42" t="s">
        <v>179</v>
      </c>
      <c r="D14" s="42">
        <v>2.0</v>
      </c>
      <c r="E14" s="42">
        <v>42.0</v>
      </c>
      <c r="F14" s="59">
        <f>CONFIG!$B$8+(D14-1)*CONFIG!$B$14-CONFIG!$B$15</f>
        <v>46267</v>
      </c>
      <c r="G14" s="59">
        <f>CONFIG!$B$8+(B14-1)*7-CONFIG!$B$16</f>
        <v>46281</v>
      </c>
      <c r="H14" s="59">
        <f>CONFIG!$B$8+E14</f>
        <v>46283</v>
      </c>
      <c r="I14" s="59">
        <f t="shared" si="1"/>
        <v>46284</v>
      </c>
      <c r="J14" s="59">
        <f t="shared" si="2"/>
        <v>46285</v>
      </c>
      <c r="K14" s="42" t="s">
        <v>320</v>
      </c>
      <c r="L14" s="42" t="s">
        <v>189</v>
      </c>
      <c r="M14" s="42" t="s">
        <v>338</v>
      </c>
      <c r="N14" s="42" t="s">
        <v>438</v>
      </c>
      <c r="O14" s="42" t="s">
        <v>451</v>
      </c>
      <c r="P14" s="42" t="s">
        <v>452</v>
      </c>
      <c r="Q14" s="42" t="s">
        <v>453</v>
      </c>
      <c r="R14" s="42" t="s">
        <v>454</v>
      </c>
      <c r="S14" s="42" t="s">
        <v>345</v>
      </c>
      <c r="T14" s="42" t="s">
        <v>332</v>
      </c>
    </row>
    <row r="15" ht="57.75" customHeight="1">
      <c r="A15" s="42">
        <v>14.0</v>
      </c>
      <c r="B15" s="42">
        <v>7.0</v>
      </c>
      <c r="C15" s="42" t="s">
        <v>218</v>
      </c>
      <c r="D15" s="42">
        <v>2.0</v>
      </c>
      <c r="E15" s="42">
        <v>45.0</v>
      </c>
      <c r="F15" s="59">
        <f>CONFIG!$B$8+(D15-1)*CONFIG!$B$14-CONFIG!$B$15</f>
        <v>46267</v>
      </c>
      <c r="G15" s="59">
        <f>CONFIG!$B$8+(B15-1)*7-CONFIG!$B$16</f>
        <v>46281</v>
      </c>
      <c r="H15" s="59">
        <f>CONFIG!$B$8+E15</f>
        <v>46286</v>
      </c>
      <c r="I15" s="59">
        <f t="shared" si="1"/>
        <v>46287</v>
      </c>
      <c r="J15" s="59">
        <f t="shared" si="2"/>
        <v>46288</v>
      </c>
      <c r="K15" s="42" t="s">
        <v>320</v>
      </c>
      <c r="L15" s="42" t="s">
        <v>201</v>
      </c>
      <c r="M15" s="42" t="s">
        <v>353</v>
      </c>
      <c r="N15" s="42" t="s">
        <v>438</v>
      </c>
      <c r="O15" s="42" t="s">
        <v>461</v>
      </c>
      <c r="P15" s="42" t="s">
        <v>463</v>
      </c>
      <c r="Q15" s="42" t="s">
        <v>464</v>
      </c>
      <c r="R15" s="42" t="s">
        <v>465</v>
      </c>
      <c r="S15" s="42" t="s">
        <v>360</v>
      </c>
      <c r="T15" s="42" t="s">
        <v>332</v>
      </c>
    </row>
    <row r="16" ht="57.75" customHeight="1">
      <c r="A16" s="42">
        <v>15.0</v>
      </c>
      <c r="B16" s="42">
        <v>8.0</v>
      </c>
      <c r="C16" s="42" t="s">
        <v>179</v>
      </c>
      <c r="D16" s="42">
        <v>2.0</v>
      </c>
      <c r="E16" s="42">
        <v>49.0</v>
      </c>
      <c r="F16" s="59">
        <f>CONFIG!$B$8+(D16-1)*CONFIG!$B$14-CONFIG!$B$15</f>
        <v>46267</v>
      </c>
      <c r="G16" s="59">
        <f>CONFIG!$B$8+(B16-1)*7-CONFIG!$B$16</f>
        <v>46288</v>
      </c>
      <c r="H16" s="59">
        <f>CONFIG!$B$8+E16</f>
        <v>46290</v>
      </c>
      <c r="I16" s="59">
        <f t="shared" si="1"/>
        <v>46291</v>
      </c>
      <c r="J16" s="59">
        <f t="shared" si="2"/>
        <v>46292</v>
      </c>
      <c r="K16" s="42" t="s">
        <v>320</v>
      </c>
      <c r="L16" s="42" t="s">
        <v>214</v>
      </c>
      <c r="M16" s="42" t="s">
        <v>367</v>
      </c>
      <c r="N16" s="42" t="s">
        <v>438</v>
      </c>
      <c r="O16" s="42" t="s">
        <v>474</v>
      </c>
      <c r="P16" s="42" t="s">
        <v>475</v>
      </c>
      <c r="Q16" s="42" t="s">
        <v>477</v>
      </c>
      <c r="R16" s="42" t="s">
        <v>478</v>
      </c>
      <c r="S16" s="42" t="s">
        <v>375</v>
      </c>
      <c r="T16" s="42" t="s">
        <v>332</v>
      </c>
    </row>
    <row r="17" ht="57.75" customHeight="1">
      <c r="A17" s="42">
        <v>16.0</v>
      </c>
      <c r="B17" s="42">
        <v>8.0</v>
      </c>
      <c r="C17" s="42" t="s">
        <v>218</v>
      </c>
      <c r="D17" s="42">
        <v>2.0</v>
      </c>
      <c r="E17" s="42">
        <v>52.0</v>
      </c>
      <c r="F17" s="59">
        <f>CONFIG!$B$8+(D17-1)*CONFIG!$B$14-CONFIG!$B$15</f>
        <v>46267</v>
      </c>
      <c r="G17" s="59">
        <f>CONFIG!$B$8+(B17-1)*7-CONFIG!$B$16</f>
        <v>46288</v>
      </c>
      <c r="H17" s="59">
        <f>CONFIG!$B$8+E17</f>
        <v>46293</v>
      </c>
      <c r="I17" s="59">
        <f t="shared" si="1"/>
        <v>46294</v>
      </c>
      <c r="J17" s="59">
        <f t="shared" si="2"/>
        <v>46295</v>
      </c>
      <c r="K17" s="42" t="s">
        <v>320</v>
      </c>
      <c r="L17" s="42" t="s">
        <v>227</v>
      </c>
      <c r="M17" s="42" t="s">
        <v>377</v>
      </c>
      <c r="N17" s="42" t="s">
        <v>438</v>
      </c>
      <c r="O17" s="42" t="s">
        <v>485</v>
      </c>
      <c r="P17" s="42" t="s">
        <v>486</v>
      </c>
      <c r="Q17" s="42" t="s">
        <v>488</v>
      </c>
      <c r="R17" s="42" t="s">
        <v>489</v>
      </c>
      <c r="S17" s="42" t="s">
        <v>389</v>
      </c>
      <c r="T17" s="42" t="s">
        <v>332</v>
      </c>
    </row>
    <row r="18" ht="57.75" customHeight="1">
      <c r="A18" s="42">
        <v>17.0</v>
      </c>
      <c r="B18" s="42">
        <v>9.0</v>
      </c>
      <c r="C18" s="42" t="s">
        <v>179</v>
      </c>
      <c r="D18" s="42">
        <v>3.0</v>
      </c>
      <c r="E18" s="42">
        <v>56.0</v>
      </c>
      <c r="F18" s="59">
        <f>CONFIG!$B$8+(D18-1)*CONFIG!$B$14-CONFIG!$B$15</f>
        <v>46295</v>
      </c>
      <c r="G18" s="59">
        <f>CONFIG!$B$8+(B18-1)*7-CONFIG!$B$16</f>
        <v>46295</v>
      </c>
      <c r="H18" s="59">
        <f>CONFIG!$B$8+E18</f>
        <v>46297</v>
      </c>
      <c r="I18" s="59">
        <f t="shared" si="1"/>
        <v>46298</v>
      </c>
      <c r="J18" s="59">
        <f t="shared" si="2"/>
        <v>46299</v>
      </c>
      <c r="K18" s="42" t="s">
        <v>320</v>
      </c>
      <c r="L18" s="42" t="s">
        <v>243</v>
      </c>
      <c r="M18" s="42" t="s">
        <v>392</v>
      </c>
      <c r="N18" s="42" t="s">
        <v>438</v>
      </c>
      <c r="O18" s="42" t="s">
        <v>499</v>
      </c>
      <c r="P18" s="42" t="s">
        <v>501</v>
      </c>
      <c r="Q18" s="42" t="s">
        <v>502</v>
      </c>
      <c r="R18" s="42" t="s">
        <v>503</v>
      </c>
      <c r="S18" s="42" t="s">
        <v>403</v>
      </c>
      <c r="T18" s="42" t="s">
        <v>332</v>
      </c>
    </row>
    <row r="19" ht="57.75" customHeight="1">
      <c r="A19" s="42">
        <v>18.0</v>
      </c>
      <c r="B19" s="42">
        <v>9.0</v>
      </c>
      <c r="C19" s="42" t="s">
        <v>218</v>
      </c>
      <c r="D19" s="42">
        <v>3.0</v>
      </c>
      <c r="E19" s="42">
        <v>59.0</v>
      </c>
      <c r="F19" s="59">
        <f>CONFIG!$B$8+(D19-1)*CONFIG!$B$14-CONFIG!$B$15</f>
        <v>46295</v>
      </c>
      <c r="G19" s="59">
        <f>CONFIG!$B$8+(B19-1)*7-CONFIG!$B$16</f>
        <v>46295</v>
      </c>
      <c r="H19" s="59">
        <f>CONFIG!$B$8+E19</f>
        <v>46300</v>
      </c>
      <c r="I19" s="59">
        <f t="shared" si="1"/>
        <v>46301</v>
      </c>
      <c r="J19" s="59">
        <f t="shared" si="2"/>
        <v>46302</v>
      </c>
      <c r="K19" s="42" t="s">
        <v>320</v>
      </c>
      <c r="L19" s="42" t="s">
        <v>256</v>
      </c>
      <c r="M19" s="42" t="s">
        <v>405</v>
      </c>
      <c r="N19" s="42" t="s">
        <v>438</v>
      </c>
      <c r="O19" s="42" t="s">
        <v>511</v>
      </c>
      <c r="P19" s="42" t="s">
        <v>512</v>
      </c>
      <c r="Q19" s="42" t="s">
        <v>513</v>
      </c>
      <c r="R19" s="42" t="s">
        <v>514</v>
      </c>
      <c r="S19" s="42" t="s">
        <v>417</v>
      </c>
      <c r="T19" s="42" t="s">
        <v>332</v>
      </c>
    </row>
    <row r="20" ht="57.75" customHeight="1">
      <c r="A20" s="42">
        <v>19.0</v>
      </c>
      <c r="B20" s="42">
        <v>10.0</v>
      </c>
      <c r="C20" s="42" t="s">
        <v>179</v>
      </c>
      <c r="D20" s="42">
        <v>3.0</v>
      </c>
      <c r="E20" s="42">
        <v>63.0</v>
      </c>
      <c r="F20" s="59">
        <f>CONFIG!$B$8+(D20-1)*CONFIG!$B$14-CONFIG!$B$15</f>
        <v>46295</v>
      </c>
      <c r="G20" s="59">
        <f>CONFIG!$B$8+(B20-1)*7-CONFIG!$B$16</f>
        <v>46302</v>
      </c>
      <c r="H20" s="59">
        <f>CONFIG!$B$8+E20</f>
        <v>46304</v>
      </c>
      <c r="I20" s="59">
        <f t="shared" si="1"/>
        <v>46305</v>
      </c>
      <c r="J20" s="59">
        <f t="shared" si="2"/>
        <v>46306</v>
      </c>
      <c r="K20" s="42" t="s">
        <v>320</v>
      </c>
      <c r="L20" s="42" t="s">
        <v>271</v>
      </c>
      <c r="M20" s="42" t="s">
        <v>421</v>
      </c>
      <c r="N20" s="42" t="s">
        <v>438</v>
      </c>
      <c r="O20" s="42" t="s">
        <v>526</v>
      </c>
      <c r="P20" s="42" t="s">
        <v>527</v>
      </c>
      <c r="Q20" s="42" t="s">
        <v>528</v>
      </c>
      <c r="R20" s="42" t="s">
        <v>529</v>
      </c>
      <c r="S20" s="42" t="s">
        <v>433</v>
      </c>
      <c r="T20" s="42" t="s">
        <v>332</v>
      </c>
    </row>
    <row r="21" ht="57.75" customHeight="1">
      <c r="A21" s="42">
        <v>20.0</v>
      </c>
      <c r="B21" s="42">
        <v>10.0</v>
      </c>
      <c r="C21" s="42" t="s">
        <v>218</v>
      </c>
      <c r="D21" s="42">
        <v>3.0</v>
      </c>
      <c r="E21" s="42">
        <v>66.0</v>
      </c>
      <c r="F21" s="59">
        <f>CONFIG!$B$8+(D21-1)*CONFIG!$B$14-CONFIG!$B$15</f>
        <v>46295</v>
      </c>
      <c r="G21" s="59">
        <f>CONFIG!$B$8+(B21-1)*7-CONFIG!$B$16</f>
        <v>46302</v>
      </c>
      <c r="H21" s="59">
        <f>CONFIG!$B$8+E21</f>
        <v>46307</v>
      </c>
      <c r="I21" s="59">
        <f t="shared" si="1"/>
        <v>46308</v>
      </c>
      <c r="J21" s="59">
        <f t="shared" si="2"/>
        <v>46309</v>
      </c>
      <c r="K21" s="42" t="s">
        <v>320</v>
      </c>
      <c r="L21" s="42" t="s">
        <v>281</v>
      </c>
      <c r="M21" s="42" t="s">
        <v>436</v>
      </c>
      <c r="N21" s="42" t="s">
        <v>438</v>
      </c>
      <c r="O21" s="42" t="s">
        <v>545</v>
      </c>
      <c r="P21" s="42" t="s">
        <v>547</v>
      </c>
      <c r="Q21" s="42" t="s">
        <v>548</v>
      </c>
      <c r="R21" s="42" t="s">
        <v>550</v>
      </c>
      <c r="S21" s="42" t="s">
        <v>447</v>
      </c>
      <c r="T21" s="42" t="s">
        <v>332</v>
      </c>
    </row>
    <row r="22" ht="57.75" customHeight="1">
      <c r="A22" s="42">
        <v>21.0</v>
      </c>
      <c r="B22" s="42">
        <v>11.0</v>
      </c>
      <c r="C22" s="42" t="s">
        <v>179</v>
      </c>
      <c r="D22" s="42">
        <v>3.0</v>
      </c>
      <c r="E22" s="42">
        <v>70.0</v>
      </c>
      <c r="F22" s="59">
        <f>CONFIG!$B$8+(D22-1)*CONFIG!$B$14-CONFIG!$B$15</f>
        <v>46295</v>
      </c>
      <c r="G22" s="59">
        <f>CONFIG!$B$8+(B22-1)*7-CONFIG!$B$16</f>
        <v>46309</v>
      </c>
      <c r="H22" s="59">
        <f>CONFIG!$B$8+E22</f>
        <v>46311</v>
      </c>
      <c r="I22" s="59">
        <f t="shared" si="1"/>
        <v>46312</v>
      </c>
      <c r="J22" s="59">
        <f t="shared" si="2"/>
        <v>46313</v>
      </c>
      <c r="K22" s="42" t="s">
        <v>320</v>
      </c>
      <c r="L22" s="42" t="s">
        <v>292</v>
      </c>
      <c r="M22" s="42" t="s">
        <v>272</v>
      </c>
      <c r="N22" s="42" t="s">
        <v>438</v>
      </c>
      <c r="O22" s="42" t="s">
        <v>560</v>
      </c>
      <c r="P22" s="42" t="s">
        <v>561</v>
      </c>
      <c r="Q22" s="42" t="s">
        <v>563</v>
      </c>
      <c r="R22" s="42" t="s">
        <v>564</v>
      </c>
      <c r="S22" s="42" t="s">
        <v>462</v>
      </c>
      <c r="T22" s="42" t="s">
        <v>332</v>
      </c>
    </row>
    <row r="23" ht="57.75" customHeight="1">
      <c r="A23" s="42">
        <v>22.0</v>
      </c>
      <c r="B23" s="42">
        <v>11.0</v>
      </c>
      <c r="C23" s="42" t="s">
        <v>218</v>
      </c>
      <c r="D23" s="42">
        <v>3.0</v>
      </c>
      <c r="E23" s="42">
        <v>73.0</v>
      </c>
      <c r="F23" s="59">
        <f>CONFIG!$B$8+(D23-1)*CONFIG!$B$14-CONFIG!$B$15</f>
        <v>46295</v>
      </c>
      <c r="G23" s="59">
        <f>CONFIG!$B$8+(B23-1)*7-CONFIG!$B$16</f>
        <v>46309</v>
      </c>
      <c r="H23" s="59">
        <f>CONFIG!$B$8+E23</f>
        <v>46314</v>
      </c>
      <c r="I23" s="59">
        <f t="shared" si="1"/>
        <v>46315</v>
      </c>
      <c r="J23" s="59">
        <f t="shared" si="2"/>
        <v>46316</v>
      </c>
      <c r="K23" s="42" t="s">
        <v>320</v>
      </c>
      <c r="L23" s="42" t="s">
        <v>308</v>
      </c>
      <c r="M23" s="42" t="s">
        <v>469</v>
      </c>
      <c r="N23" s="42" t="s">
        <v>438</v>
      </c>
      <c r="O23" s="42" t="s">
        <v>576</v>
      </c>
      <c r="P23" s="42" t="s">
        <v>577</v>
      </c>
      <c r="Q23" s="42" t="s">
        <v>578</v>
      </c>
      <c r="R23" s="42" t="s">
        <v>580</v>
      </c>
      <c r="S23" s="42" t="s">
        <v>480</v>
      </c>
      <c r="T23" s="42" t="s">
        <v>332</v>
      </c>
    </row>
    <row r="24" ht="57.75" customHeight="1">
      <c r="A24" s="42">
        <v>23.0</v>
      </c>
      <c r="B24" s="42">
        <v>12.0</v>
      </c>
      <c r="C24" s="42" t="s">
        <v>179</v>
      </c>
      <c r="D24" s="42">
        <v>3.0</v>
      </c>
      <c r="E24" s="42">
        <v>77.0</v>
      </c>
      <c r="F24" s="59">
        <f>CONFIG!$B$8+(D24-1)*CONFIG!$B$14-CONFIG!$B$15</f>
        <v>46295</v>
      </c>
      <c r="G24" s="59">
        <f>CONFIG!$B$8+(B24-1)*7-CONFIG!$B$16</f>
        <v>46316</v>
      </c>
      <c r="H24" s="59">
        <f>CONFIG!$B$8+E24</f>
        <v>46318</v>
      </c>
      <c r="I24" s="59">
        <f t="shared" si="1"/>
        <v>46319</v>
      </c>
      <c r="J24" s="59">
        <f t="shared" si="2"/>
        <v>46320</v>
      </c>
      <c r="K24" s="42" t="s">
        <v>483</v>
      </c>
      <c r="L24" s="42" t="s">
        <v>133</v>
      </c>
      <c r="M24" s="42" t="s">
        <v>484</v>
      </c>
      <c r="N24" s="42" t="s">
        <v>588</v>
      </c>
      <c r="O24" s="42" t="s">
        <v>589</v>
      </c>
      <c r="P24" s="42" t="s">
        <v>590</v>
      </c>
      <c r="Q24" s="42" t="s">
        <v>592</v>
      </c>
      <c r="R24" s="42" t="s">
        <v>595</v>
      </c>
      <c r="S24" s="42" t="s">
        <v>498</v>
      </c>
      <c r="T24" s="42" t="s">
        <v>496</v>
      </c>
    </row>
    <row r="25" ht="57.75" customHeight="1">
      <c r="A25" s="42">
        <v>24.0</v>
      </c>
      <c r="B25" s="42">
        <v>12.0</v>
      </c>
      <c r="C25" s="42" t="s">
        <v>218</v>
      </c>
      <c r="D25" s="42">
        <v>3.0</v>
      </c>
      <c r="E25" s="42">
        <v>80.0</v>
      </c>
      <c r="F25" s="59">
        <f>CONFIG!$B$8+(D25-1)*CONFIG!$B$14-CONFIG!$B$15</f>
        <v>46295</v>
      </c>
      <c r="G25" s="59">
        <f>CONFIG!$B$8+(B25-1)*7-CONFIG!$B$16</f>
        <v>46316</v>
      </c>
      <c r="H25" s="59">
        <f>CONFIG!$B$8+E25</f>
        <v>46321</v>
      </c>
      <c r="I25" s="59">
        <f t="shared" si="1"/>
        <v>46322</v>
      </c>
      <c r="J25" s="59">
        <f t="shared" si="2"/>
        <v>46323</v>
      </c>
      <c r="K25" s="42" t="s">
        <v>483</v>
      </c>
      <c r="L25" s="42" t="s">
        <v>189</v>
      </c>
      <c r="M25" s="42" t="s">
        <v>505</v>
      </c>
      <c r="N25" s="42" t="s">
        <v>588</v>
      </c>
      <c r="O25" s="42" t="s">
        <v>606</v>
      </c>
      <c r="P25" s="42" t="s">
        <v>607</v>
      </c>
      <c r="Q25" s="42" t="s">
        <v>609</v>
      </c>
      <c r="R25" s="42" t="s">
        <v>610</v>
      </c>
      <c r="S25" s="42" t="s">
        <v>516</v>
      </c>
      <c r="T25" s="42" t="s">
        <v>496</v>
      </c>
    </row>
    <row r="26" ht="57.75" customHeight="1">
      <c r="A26" s="42">
        <v>25.0</v>
      </c>
      <c r="B26" s="42">
        <v>13.0</v>
      </c>
      <c r="C26" s="42" t="s">
        <v>179</v>
      </c>
      <c r="D26" s="42">
        <v>4.0</v>
      </c>
      <c r="E26" s="42">
        <v>84.0</v>
      </c>
      <c r="F26" s="59">
        <f>CONFIG!$B$8+(D26-1)*CONFIG!$B$14-CONFIG!$B$15</f>
        <v>46323</v>
      </c>
      <c r="G26" s="59">
        <f>CONFIG!$B$8+(B26-1)*7-CONFIG!$B$16</f>
        <v>46323</v>
      </c>
      <c r="H26" s="59">
        <f>CONFIG!$B$8+E26</f>
        <v>46325</v>
      </c>
      <c r="I26" s="59">
        <f t="shared" si="1"/>
        <v>46326</v>
      </c>
      <c r="J26" s="59">
        <f t="shared" si="2"/>
        <v>46327</v>
      </c>
      <c r="K26" s="42" t="s">
        <v>483</v>
      </c>
      <c r="L26" s="42" t="s">
        <v>201</v>
      </c>
      <c r="M26" s="42" t="s">
        <v>519</v>
      </c>
      <c r="N26" s="42" t="s">
        <v>588</v>
      </c>
      <c r="O26" s="42" t="s">
        <v>617</v>
      </c>
      <c r="P26" s="42" t="s">
        <v>618</v>
      </c>
      <c r="Q26" s="42" t="s">
        <v>619</v>
      </c>
      <c r="R26" s="42" t="s">
        <v>621</v>
      </c>
      <c r="S26" s="42" t="s">
        <v>530</v>
      </c>
      <c r="T26" s="42" t="s">
        <v>496</v>
      </c>
    </row>
    <row r="27" ht="57.75" customHeight="1">
      <c r="A27" s="42">
        <v>26.0</v>
      </c>
      <c r="B27" s="42">
        <v>13.0</v>
      </c>
      <c r="C27" s="42" t="s">
        <v>218</v>
      </c>
      <c r="D27" s="42">
        <v>4.0</v>
      </c>
      <c r="E27" s="42">
        <v>87.0</v>
      </c>
      <c r="F27" s="59">
        <f>CONFIG!$B$8+(D27-1)*CONFIG!$B$14-CONFIG!$B$15</f>
        <v>46323</v>
      </c>
      <c r="G27" s="59">
        <f>CONFIG!$B$8+(B27-1)*7-CONFIG!$B$16</f>
        <v>46323</v>
      </c>
      <c r="H27" s="59">
        <f>CONFIG!$B$8+E27</f>
        <v>46328</v>
      </c>
      <c r="I27" s="59">
        <f t="shared" si="1"/>
        <v>46329</v>
      </c>
      <c r="J27" s="59">
        <f t="shared" si="2"/>
        <v>46330</v>
      </c>
      <c r="K27" s="42" t="s">
        <v>483</v>
      </c>
      <c r="L27" s="42" t="s">
        <v>214</v>
      </c>
      <c r="M27" s="42" t="s">
        <v>534</v>
      </c>
      <c r="N27" s="42" t="s">
        <v>588</v>
      </c>
      <c r="O27" s="42" t="s">
        <v>629</v>
      </c>
      <c r="P27" s="42" t="s">
        <v>630</v>
      </c>
      <c r="Q27" s="42" t="s">
        <v>631</v>
      </c>
      <c r="R27" s="42" t="s">
        <v>632</v>
      </c>
      <c r="S27" s="42" t="s">
        <v>542</v>
      </c>
      <c r="T27" s="42" t="s">
        <v>496</v>
      </c>
    </row>
    <row r="28" ht="57.75" customHeight="1">
      <c r="A28" s="42">
        <v>27.0</v>
      </c>
      <c r="B28" s="42">
        <v>14.0</v>
      </c>
      <c r="C28" s="42" t="s">
        <v>179</v>
      </c>
      <c r="D28" s="42">
        <v>4.0</v>
      </c>
      <c r="E28" s="42">
        <v>91.0</v>
      </c>
      <c r="F28" s="59">
        <f>CONFIG!$B$8+(D28-1)*CONFIG!$B$14-CONFIG!$B$15</f>
        <v>46323</v>
      </c>
      <c r="G28" s="59">
        <f>CONFIG!$B$8+(B28-1)*7-CONFIG!$B$16</f>
        <v>46330</v>
      </c>
      <c r="H28" s="59">
        <f>CONFIG!$B$8+E28</f>
        <v>46332</v>
      </c>
      <c r="I28" s="59">
        <f t="shared" si="1"/>
        <v>46333</v>
      </c>
      <c r="J28" s="59">
        <f t="shared" si="2"/>
        <v>46334</v>
      </c>
      <c r="K28" s="42" t="s">
        <v>483</v>
      </c>
      <c r="L28" s="42" t="s">
        <v>227</v>
      </c>
      <c r="M28" s="42" t="s">
        <v>549</v>
      </c>
      <c r="N28" s="42" t="s">
        <v>588</v>
      </c>
      <c r="O28" s="42" t="s">
        <v>648</v>
      </c>
      <c r="P28" s="42" t="s">
        <v>650</v>
      </c>
      <c r="Q28" s="42" t="s">
        <v>652</v>
      </c>
      <c r="R28" s="42" t="s">
        <v>655</v>
      </c>
      <c r="S28" s="42" t="s">
        <v>557</v>
      </c>
      <c r="T28" s="42" t="s">
        <v>496</v>
      </c>
    </row>
    <row r="29" ht="57.75" customHeight="1">
      <c r="A29" s="42">
        <v>28.0</v>
      </c>
      <c r="B29" s="42">
        <v>14.0</v>
      </c>
      <c r="C29" s="42" t="s">
        <v>218</v>
      </c>
      <c r="D29" s="42">
        <v>4.0</v>
      </c>
      <c r="E29" s="42">
        <v>94.0</v>
      </c>
      <c r="F29" s="59">
        <f>CONFIG!$B$8+(D29-1)*CONFIG!$B$14-CONFIG!$B$15</f>
        <v>46323</v>
      </c>
      <c r="G29" s="59">
        <f>CONFIG!$B$8+(B29-1)*7-CONFIG!$B$16</f>
        <v>46330</v>
      </c>
      <c r="H29" s="59">
        <f>CONFIG!$B$8+E29</f>
        <v>46335</v>
      </c>
      <c r="I29" s="59">
        <f t="shared" si="1"/>
        <v>46336</v>
      </c>
      <c r="J29" s="59">
        <f t="shared" si="2"/>
        <v>46337</v>
      </c>
      <c r="K29" s="42" t="s">
        <v>483</v>
      </c>
      <c r="L29" s="42" t="s">
        <v>243</v>
      </c>
      <c r="M29" s="42" t="s">
        <v>562</v>
      </c>
      <c r="N29" s="42" t="s">
        <v>588</v>
      </c>
      <c r="O29" s="42" t="s">
        <v>659</v>
      </c>
      <c r="P29" s="42" t="s">
        <v>660</v>
      </c>
      <c r="Q29" s="42" t="s">
        <v>661</v>
      </c>
      <c r="R29" s="42" t="s">
        <v>662</v>
      </c>
      <c r="S29" s="42" t="s">
        <v>571</v>
      </c>
      <c r="T29" s="42" t="s">
        <v>496</v>
      </c>
    </row>
    <row r="30" ht="57.75" customHeight="1">
      <c r="A30" s="42">
        <v>29.0</v>
      </c>
      <c r="B30" s="42">
        <v>15.0</v>
      </c>
      <c r="C30" s="42" t="s">
        <v>179</v>
      </c>
      <c r="D30" s="42">
        <v>4.0</v>
      </c>
      <c r="E30" s="42">
        <v>98.0</v>
      </c>
      <c r="F30" s="59">
        <f>CONFIG!$B$8+(D30-1)*CONFIG!$B$14-CONFIG!$B$15</f>
        <v>46323</v>
      </c>
      <c r="G30" s="59">
        <f>CONFIG!$B$8+(B30-1)*7-CONFIG!$B$16</f>
        <v>46337</v>
      </c>
      <c r="H30" s="59">
        <f>CONFIG!$B$8+E30</f>
        <v>46339</v>
      </c>
      <c r="I30" s="59">
        <f t="shared" si="1"/>
        <v>46340</v>
      </c>
      <c r="J30" s="59">
        <f t="shared" si="2"/>
        <v>46341</v>
      </c>
      <c r="K30" s="42" t="s">
        <v>483</v>
      </c>
      <c r="L30" s="42" t="s">
        <v>256</v>
      </c>
      <c r="M30" s="42" t="s">
        <v>574</v>
      </c>
      <c r="N30" s="42" t="s">
        <v>588</v>
      </c>
      <c r="O30" s="42" t="s">
        <v>664</v>
      </c>
      <c r="P30" s="42" t="s">
        <v>665</v>
      </c>
      <c r="Q30" s="42" t="s">
        <v>666</v>
      </c>
      <c r="R30" s="42" t="s">
        <v>667</v>
      </c>
      <c r="S30" s="42" t="s">
        <v>585</v>
      </c>
      <c r="T30" s="42" t="s">
        <v>496</v>
      </c>
    </row>
    <row r="31" ht="57.75" customHeight="1">
      <c r="A31" s="42">
        <v>30.0</v>
      </c>
      <c r="B31" s="42">
        <v>15.0</v>
      </c>
      <c r="C31" s="42" t="s">
        <v>218</v>
      </c>
      <c r="D31" s="42">
        <v>4.0</v>
      </c>
      <c r="E31" s="42">
        <v>101.0</v>
      </c>
      <c r="F31" s="59">
        <f>CONFIG!$B$8+(D31-1)*CONFIG!$B$14-CONFIG!$B$15</f>
        <v>46323</v>
      </c>
      <c r="G31" s="59">
        <f>CONFIG!$B$8+(B31-1)*7-CONFIG!$B$16</f>
        <v>46337</v>
      </c>
      <c r="H31" s="59">
        <f>CONFIG!$B$8+E31</f>
        <v>46342</v>
      </c>
      <c r="I31" s="59">
        <f t="shared" si="1"/>
        <v>46343</v>
      </c>
      <c r="J31" s="59">
        <f t="shared" si="2"/>
        <v>46344</v>
      </c>
      <c r="K31" s="42" t="s">
        <v>483</v>
      </c>
      <c r="L31" s="42" t="s">
        <v>271</v>
      </c>
      <c r="M31" s="42" t="s">
        <v>591</v>
      </c>
      <c r="N31" s="42" t="s">
        <v>588</v>
      </c>
      <c r="O31" s="42" t="s">
        <v>669</v>
      </c>
      <c r="P31" s="42" t="s">
        <v>670</v>
      </c>
      <c r="Q31" s="42" t="s">
        <v>671</v>
      </c>
      <c r="R31" s="42" t="s">
        <v>672</v>
      </c>
      <c r="S31" s="42" t="s">
        <v>600</v>
      </c>
      <c r="T31" s="42" t="s">
        <v>496</v>
      </c>
    </row>
    <row r="32" ht="57.75" customHeight="1">
      <c r="A32" s="42">
        <v>31.0</v>
      </c>
      <c r="B32" s="42">
        <v>16.0</v>
      </c>
      <c r="C32" s="42" t="s">
        <v>179</v>
      </c>
      <c r="D32" s="42">
        <v>4.0</v>
      </c>
      <c r="E32" s="42">
        <v>105.0</v>
      </c>
      <c r="F32" s="59">
        <f>CONFIG!$B$8+(D32-1)*CONFIG!$B$14-CONFIG!$B$15</f>
        <v>46323</v>
      </c>
      <c r="G32" s="59">
        <f>CONFIG!$B$8+(B32-1)*7-CONFIG!$B$16</f>
        <v>46344</v>
      </c>
      <c r="H32" s="59">
        <f>CONFIG!$B$8+E32</f>
        <v>46346</v>
      </c>
      <c r="I32" s="59">
        <f t="shared" si="1"/>
        <v>46347</v>
      </c>
      <c r="J32" s="59">
        <f t="shared" si="2"/>
        <v>46348</v>
      </c>
      <c r="K32" s="42" t="s">
        <v>483</v>
      </c>
      <c r="L32" s="42" t="s">
        <v>281</v>
      </c>
      <c r="M32" s="42" t="s">
        <v>604</v>
      </c>
      <c r="N32" s="42" t="s">
        <v>588</v>
      </c>
      <c r="O32" s="42" t="s">
        <v>673</v>
      </c>
      <c r="P32" s="42" t="s">
        <v>674</v>
      </c>
      <c r="Q32" s="42" t="s">
        <v>675</v>
      </c>
      <c r="R32" s="42" t="s">
        <v>677</v>
      </c>
      <c r="S32" s="42" t="s">
        <v>614</v>
      </c>
      <c r="T32" s="42" t="s">
        <v>496</v>
      </c>
    </row>
    <row r="33" ht="57.75" customHeight="1">
      <c r="A33" s="42">
        <v>32.0</v>
      </c>
      <c r="B33" s="42">
        <v>16.0</v>
      </c>
      <c r="C33" s="42" t="s">
        <v>218</v>
      </c>
      <c r="D33" s="42">
        <v>4.0</v>
      </c>
      <c r="E33" s="42">
        <v>108.0</v>
      </c>
      <c r="F33" s="59">
        <f>CONFIG!$B$8+(D33-1)*CONFIG!$B$14-CONFIG!$B$15</f>
        <v>46323</v>
      </c>
      <c r="G33" s="59">
        <f>CONFIG!$B$8+(B33-1)*7-CONFIG!$B$16</f>
        <v>46344</v>
      </c>
      <c r="H33" s="59">
        <f>CONFIG!$B$8+E33</f>
        <v>46349</v>
      </c>
      <c r="I33" s="59">
        <f t="shared" si="1"/>
        <v>46350</v>
      </c>
      <c r="J33" s="59">
        <f t="shared" si="2"/>
        <v>46351</v>
      </c>
      <c r="K33" s="42" t="s">
        <v>483</v>
      </c>
      <c r="L33" s="42" t="s">
        <v>292</v>
      </c>
      <c r="M33" s="42" t="s">
        <v>622</v>
      </c>
      <c r="N33" s="42" t="s">
        <v>588</v>
      </c>
      <c r="O33" s="42" t="s">
        <v>678</v>
      </c>
      <c r="P33" s="42" t="s">
        <v>679</v>
      </c>
      <c r="Q33" s="42" t="s">
        <v>680</v>
      </c>
      <c r="R33" s="42" t="s">
        <v>681</v>
      </c>
      <c r="S33" s="42" t="s">
        <v>633</v>
      </c>
      <c r="T33" s="42" t="s">
        <v>496</v>
      </c>
    </row>
    <row r="34" ht="57.75" customHeight="1">
      <c r="A34" s="42">
        <v>33.0</v>
      </c>
      <c r="B34" s="42">
        <v>17.0</v>
      </c>
      <c r="C34" s="42" t="s">
        <v>179</v>
      </c>
      <c r="D34" s="42">
        <v>5.0</v>
      </c>
      <c r="E34" s="42">
        <v>112.0</v>
      </c>
      <c r="F34" s="59">
        <f>CONFIG!$B$8+(D34-1)*CONFIG!$B$14-CONFIG!$B$15</f>
        <v>46351</v>
      </c>
      <c r="G34" s="59">
        <f>CONFIG!$B$8+(B34-1)*7-CONFIG!$B$16</f>
        <v>46351</v>
      </c>
      <c r="H34" s="59">
        <f>CONFIG!$B$8+E34</f>
        <v>46353</v>
      </c>
      <c r="I34" s="59">
        <f t="shared" si="1"/>
        <v>46354</v>
      </c>
      <c r="J34" s="59">
        <f t="shared" si="2"/>
        <v>46355</v>
      </c>
      <c r="K34" s="42" t="s">
        <v>483</v>
      </c>
      <c r="L34" s="42" t="s">
        <v>308</v>
      </c>
      <c r="M34" s="42" t="s">
        <v>636</v>
      </c>
      <c r="N34" s="42" t="s">
        <v>588</v>
      </c>
      <c r="O34" s="42" t="s">
        <v>683</v>
      </c>
      <c r="P34" s="42" t="s">
        <v>684</v>
      </c>
      <c r="Q34" s="42" t="s">
        <v>685</v>
      </c>
      <c r="R34" s="42" t="s">
        <v>686</v>
      </c>
      <c r="S34" s="42" t="s">
        <v>642</v>
      </c>
      <c r="T34" s="42" t="s">
        <v>496</v>
      </c>
    </row>
    <row r="35" ht="57.75" customHeight="1">
      <c r="A35" s="65">
        <v>34.0</v>
      </c>
      <c r="B35" s="65">
        <v>17.0</v>
      </c>
      <c r="C35" s="65" t="s">
        <v>218</v>
      </c>
      <c r="D35" s="65">
        <v>5.0</v>
      </c>
      <c r="E35" s="65">
        <v>115.0</v>
      </c>
      <c r="F35" s="69">
        <f>CONFIG!$B$8+(D35-1)*CONFIG!$B$14-CONFIG!$B$15</f>
        <v>46351</v>
      </c>
      <c r="G35" s="69">
        <f>CONFIG!$B$8+(B35-1)*7-CONFIG!$B$16</f>
        <v>46351</v>
      </c>
      <c r="H35" s="69">
        <f>CONFIG!$B$8+E35</f>
        <v>46356</v>
      </c>
      <c r="I35" s="69">
        <f t="shared" si="1"/>
        <v>46357</v>
      </c>
      <c r="J35" s="69">
        <f t="shared" si="2"/>
        <v>46358</v>
      </c>
      <c r="K35" s="65" t="s">
        <v>483</v>
      </c>
      <c r="L35" s="65" t="s">
        <v>645</v>
      </c>
      <c r="M35" s="65" t="s">
        <v>646</v>
      </c>
      <c r="N35" s="65" t="s">
        <v>588</v>
      </c>
      <c r="O35" s="65" t="s">
        <v>688</v>
      </c>
      <c r="P35" s="65" t="s">
        <v>689</v>
      </c>
      <c r="Q35" s="65" t="s">
        <v>690</v>
      </c>
      <c r="R35" s="65" t="s">
        <v>691</v>
      </c>
      <c r="S35" s="65" t="s">
        <v>656</v>
      </c>
      <c r="T35" s="65" t="s">
        <v>496</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